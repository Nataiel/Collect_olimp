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Мои документы\Мой рабочий стол\Олимпиады\"/>
    </mc:Choice>
  </mc:AlternateContent>
  <bookViews>
    <workbookView xWindow="0" yWindow="0" windowWidth="28800" windowHeight="12435" firstSheet="18" activeTab="27"/>
  </bookViews>
  <sheets>
    <sheet name="Англ. язык" sheetId="1" r:id="rId1"/>
    <sheet name="Астрономия" sheetId="2" r:id="rId2"/>
    <sheet name="Биология" sheetId="3" r:id="rId3"/>
    <sheet name="География" sheetId="4" r:id="rId4"/>
    <sheet name="ИИ" sheetId="5" r:id="rId5"/>
    <sheet name="Инф.без." sheetId="6" r:id="rId6"/>
    <sheet name="Искусство" sheetId="7" r:id="rId7"/>
    <sheet name="Исп.язык" sheetId="8" r:id="rId8"/>
    <sheet name="История" sheetId="9" r:id="rId9"/>
    <sheet name="Итал.язык" sheetId="10" r:id="rId10"/>
    <sheet name="Кит.язык" sheetId="11" r:id="rId11"/>
    <sheet name="Литература" sheetId="12" r:id="rId12"/>
    <sheet name="Математика" sheetId="13" r:id="rId13"/>
    <sheet name="Нем.язык" sheetId="14" r:id="rId14"/>
    <sheet name="ОБЗР" sheetId="15" r:id="rId15"/>
    <sheet name="Обществознание" sheetId="16" r:id="rId16"/>
    <sheet name="Право" sheetId="17" r:id="rId17"/>
    <sheet name="Программирование" sheetId="18" r:id="rId18"/>
    <sheet name="Робототехника" sheetId="19" r:id="rId19"/>
    <sheet name="Русский язык" sheetId="20" r:id="rId20"/>
    <sheet name="Труд" sheetId="21" r:id="rId21"/>
    <sheet name="Физ.культура" sheetId="22" r:id="rId22"/>
    <sheet name="Физика" sheetId="23" r:id="rId23"/>
    <sheet name="Фран.язык" sheetId="24" r:id="rId24"/>
    <sheet name="Химия" sheetId="25" r:id="rId25"/>
    <sheet name="Экология" sheetId="26" r:id="rId26"/>
    <sheet name="Экономика" sheetId="27" r:id="rId27"/>
    <sheet name="Статистика" sheetId="28" r:id="rId28"/>
  </sheets>
  <calcPr calcId="152511"/>
</workbook>
</file>

<file path=xl/calcChain.xml><?xml version="1.0" encoding="utf-8"?>
<calcChain xmlns="http://schemas.openxmlformats.org/spreadsheetml/2006/main">
  <c r="E31" i="27" l="1"/>
  <c r="BB31" i="28" s="1"/>
  <c r="E30" i="27"/>
  <c r="BB30" i="28" s="1"/>
  <c r="E29" i="27"/>
  <c r="BB29" i="28" s="1"/>
  <c r="E28" i="27"/>
  <c r="BB28" i="28" s="1"/>
  <c r="E27" i="27"/>
  <c r="BB27" i="28" s="1"/>
  <c r="E26" i="27"/>
  <c r="BB26" i="28" s="1"/>
  <c r="E25" i="27"/>
  <c r="BB25" i="28" s="1"/>
  <c r="E24" i="27"/>
  <c r="BB24" i="28" s="1"/>
  <c r="E23" i="27"/>
  <c r="BB23" i="28" s="1"/>
  <c r="E22" i="27"/>
  <c r="BB22" i="28" s="1"/>
  <c r="E21" i="27"/>
  <c r="BB21" i="28" s="1"/>
  <c r="E20" i="27"/>
  <c r="BB20" i="28" s="1"/>
  <c r="E19" i="27"/>
  <c r="BB19" i="28" s="1"/>
  <c r="E18" i="27"/>
  <c r="BB18" i="28" s="1"/>
  <c r="E17" i="27"/>
  <c r="BB17" i="28" s="1"/>
  <c r="E16" i="27"/>
  <c r="BB16" i="28" s="1"/>
  <c r="E15" i="27"/>
  <c r="BB15" i="28" s="1"/>
  <c r="E14" i="27"/>
  <c r="BB14" i="28" s="1"/>
  <c r="E13" i="27"/>
  <c r="BB13" i="28" s="1"/>
  <c r="E12" i="27"/>
  <c r="BB12" i="28" s="1"/>
  <c r="E11" i="27"/>
  <c r="BB11" i="28" s="1"/>
  <c r="E10" i="27"/>
  <c r="BB10" i="28" s="1"/>
  <c r="E9" i="27"/>
  <c r="BB9" i="28" s="1"/>
  <c r="E8" i="27"/>
  <c r="BB8" i="28" s="1"/>
  <c r="E7" i="27"/>
  <c r="BB7" i="28" s="1"/>
  <c r="E6" i="27"/>
  <c r="BB6" i="28" s="1"/>
  <c r="E5" i="27"/>
  <c r="BB5" i="28" s="1"/>
  <c r="E4" i="27"/>
  <c r="BB4" i="28" s="1"/>
  <c r="E3" i="27"/>
  <c r="BB3" i="28" s="1"/>
  <c r="E2" i="27"/>
  <c r="E32" i="27" s="1"/>
  <c r="BB32" i="28" s="1"/>
  <c r="E31" i="26"/>
  <c r="AZ31" i="28" s="1"/>
  <c r="E30" i="26"/>
  <c r="AZ30" i="28" s="1"/>
  <c r="E29" i="26"/>
  <c r="AZ29" i="28" s="1"/>
  <c r="E28" i="26"/>
  <c r="AZ28" i="28" s="1"/>
  <c r="E27" i="26"/>
  <c r="AZ27" i="28" s="1"/>
  <c r="E26" i="26"/>
  <c r="AZ26" i="28" s="1"/>
  <c r="E25" i="26"/>
  <c r="AZ25" i="28" s="1"/>
  <c r="E24" i="26"/>
  <c r="AZ24" i="28" s="1"/>
  <c r="E23" i="26"/>
  <c r="AZ23" i="28" s="1"/>
  <c r="E22" i="26"/>
  <c r="AZ22" i="28" s="1"/>
  <c r="E21" i="26"/>
  <c r="AZ21" i="28" s="1"/>
  <c r="E20" i="26"/>
  <c r="AZ20" i="28" s="1"/>
  <c r="E19" i="26"/>
  <c r="AZ19" i="28" s="1"/>
  <c r="E18" i="26"/>
  <c r="AZ18" i="28" s="1"/>
  <c r="E17" i="26"/>
  <c r="AZ17" i="28" s="1"/>
  <c r="E16" i="26"/>
  <c r="AZ16" i="28" s="1"/>
  <c r="E15" i="26"/>
  <c r="AZ15" i="28" s="1"/>
  <c r="E14" i="26"/>
  <c r="AZ14" i="28" s="1"/>
  <c r="E13" i="26"/>
  <c r="AZ13" i="28" s="1"/>
  <c r="E12" i="26"/>
  <c r="AZ12" i="28" s="1"/>
  <c r="E11" i="26"/>
  <c r="AZ11" i="28" s="1"/>
  <c r="E10" i="26"/>
  <c r="AZ10" i="28" s="1"/>
  <c r="E9" i="26"/>
  <c r="AZ9" i="28" s="1"/>
  <c r="E8" i="26"/>
  <c r="AZ8" i="28" s="1"/>
  <c r="E7" i="26"/>
  <c r="AZ7" i="28" s="1"/>
  <c r="E6" i="26"/>
  <c r="AZ6" i="28" s="1"/>
  <c r="E5" i="26"/>
  <c r="AZ5" i="28" s="1"/>
  <c r="E4" i="26"/>
  <c r="AZ4" i="28" s="1"/>
  <c r="E3" i="26"/>
  <c r="AZ3" i="28" s="1"/>
  <c r="E2" i="26"/>
  <c r="E32" i="26" s="1"/>
  <c r="AZ32" i="28" s="1"/>
  <c r="E31" i="25"/>
  <c r="AX31" i="28" s="1"/>
  <c r="E30" i="25"/>
  <c r="AX30" i="28" s="1"/>
  <c r="E29" i="25"/>
  <c r="AX29" i="28" s="1"/>
  <c r="E28" i="25"/>
  <c r="AX28" i="28" s="1"/>
  <c r="E27" i="25"/>
  <c r="AX27" i="28" s="1"/>
  <c r="E26" i="25"/>
  <c r="AX26" i="28" s="1"/>
  <c r="E25" i="25"/>
  <c r="AX25" i="28" s="1"/>
  <c r="E24" i="25"/>
  <c r="AX24" i="28" s="1"/>
  <c r="E23" i="25"/>
  <c r="AX23" i="28" s="1"/>
  <c r="E22" i="25"/>
  <c r="AX22" i="28" s="1"/>
  <c r="E21" i="25"/>
  <c r="AX21" i="28" s="1"/>
  <c r="E20" i="25"/>
  <c r="AX20" i="28" s="1"/>
  <c r="E19" i="25"/>
  <c r="AX19" i="28" s="1"/>
  <c r="E18" i="25"/>
  <c r="AX18" i="28" s="1"/>
  <c r="E17" i="25"/>
  <c r="AX17" i="28" s="1"/>
  <c r="E16" i="25"/>
  <c r="AX16" i="28" s="1"/>
  <c r="E15" i="25"/>
  <c r="AX15" i="28" s="1"/>
  <c r="E14" i="25"/>
  <c r="AX14" i="28" s="1"/>
  <c r="E13" i="25"/>
  <c r="AX13" i="28" s="1"/>
  <c r="E12" i="25"/>
  <c r="AX12" i="28" s="1"/>
  <c r="E11" i="25"/>
  <c r="AX11" i="28" s="1"/>
  <c r="E10" i="25"/>
  <c r="AX10" i="28" s="1"/>
  <c r="E9" i="25"/>
  <c r="AX9" i="28" s="1"/>
  <c r="E8" i="25"/>
  <c r="AX8" i="28" s="1"/>
  <c r="E7" i="25"/>
  <c r="AX7" i="28" s="1"/>
  <c r="E6" i="25"/>
  <c r="AX6" i="28" s="1"/>
  <c r="E5" i="25"/>
  <c r="AX5" i="28" s="1"/>
  <c r="E4" i="25"/>
  <c r="AX4" i="28" s="1"/>
  <c r="E3" i="25"/>
  <c r="AX3" i="28" s="1"/>
  <c r="E2" i="25"/>
  <c r="E32" i="25" s="1"/>
  <c r="AX32" i="28" s="1"/>
  <c r="E31" i="24"/>
  <c r="AV31" i="28" s="1"/>
  <c r="E30" i="24"/>
  <c r="AV30" i="28" s="1"/>
  <c r="E29" i="24"/>
  <c r="AV29" i="28" s="1"/>
  <c r="E28" i="24"/>
  <c r="AV28" i="28" s="1"/>
  <c r="E27" i="24"/>
  <c r="AV27" i="28" s="1"/>
  <c r="E26" i="24"/>
  <c r="AV26" i="28" s="1"/>
  <c r="E25" i="24"/>
  <c r="AV25" i="28" s="1"/>
  <c r="E24" i="24"/>
  <c r="AV24" i="28" s="1"/>
  <c r="E23" i="24"/>
  <c r="AV23" i="28" s="1"/>
  <c r="E22" i="24"/>
  <c r="AV22" i="28" s="1"/>
  <c r="E21" i="24"/>
  <c r="AV21" i="28" s="1"/>
  <c r="E20" i="24"/>
  <c r="AV20" i="28" s="1"/>
  <c r="E19" i="24"/>
  <c r="AV19" i="28" s="1"/>
  <c r="E18" i="24"/>
  <c r="AV18" i="28" s="1"/>
  <c r="E17" i="24"/>
  <c r="AV17" i="28" s="1"/>
  <c r="E16" i="24"/>
  <c r="AV16" i="28" s="1"/>
  <c r="E15" i="24"/>
  <c r="AV15" i="28" s="1"/>
  <c r="E14" i="24"/>
  <c r="AV14" i="28" s="1"/>
  <c r="E13" i="24"/>
  <c r="AV13" i="28" s="1"/>
  <c r="E12" i="24"/>
  <c r="AV12" i="28" s="1"/>
  <c r="E11" i="24"/>
  <c r="AV11" i="28" s="1"/>
  <c r="E10" i="24"/>
  <c r="AV10" i="28" s="1"/>
  <c r="E9" i="24"/>
  <c r="AV9" i="28" s="1"/>
  <c r="E8" i="24"/>
  <c r="AV8" i="28" s="1"/>
  <c r="E7" i="24"/>
  <c r="AV7" i="28" s="1"/>
  <c r="E6" i="24"/>
  <c r="AV6" i="28" s="1"/>
  <c r="E5" i="24"/>
  <c r="AV5" i="28" s="1"/>
  <c r="E4" i="24"/>
  <c r="AV4" i="28" s="1"/>
  <c r="E3" i="24"/>
  <c r="AV3" i="28" s="1"/>
  <c r="E2" i="24"/>
  <c r="E32" i="24" s="1"/>
  <c r="AV32" i="28" s="1"/>
  <c r="E31" i="23"/>
  <c r="AT31" i="28" s="1"/>
  <c r="E30" i="23"/>
  <c r="AT30" i="28" s="1"/>
  <c r="E29" i="23"/>
  <c r="AT29" i="28" s="1"/>
  <c r="E28" i="23"/>
  <c r="AT28" i="28" s="1"/>
  <c r="E27" i="23"/>
  <c r="AT27" i="28" s="1"/>
  <c r="E26" i="23"/>
  <c r="AT26" i="28" s="1"/>
  <c r="E25" i="23"/>
  <c r="AT25" i="28" s="1"/>
  <c r="E24" i="23"/>
  <c r="AT24" i="28" s="1"/>
  <c r="E23" i="23"/>
  <c r="AT23" i="28" s="1"/>
  <c r="E22" i="23"/>
  <c r="AT22" i="28" s="1"/>
  <c r="E21" i="23"/>
  <c r="AT21" i="28" s="1"/>
  <c r="E20" i="23"/>
  <c r="AT20" i="28" s="1"/>
  <c r="E19" i="23"/>
  <c r="AT19" i="28" s="1"/>
  <c r="E18" i="23"/>
  <c r="AT18" i="28" s="1"/>
  <c r="E17" i="23"/>
  <c r="AT17" i="28" s="1"/>
  <c r="E16" i="23"/>
  <c r="AT16" i="28" s="1"/>
  <c r="E15" i="23"/>
  <c r="AT15" i="28" s="1"/>
  <c r="E14" i="23"/>
  <c r="AT14" i="28" s="1"/>
  <c r="E13" i="23"/>
  <c r="AT13" i="28" s="1"/>
  <c r="E12" i="23"/>
  <c r="AT12" i="28" s="1"/>
  <c r="E11" i="23"/>
  <c r="AT11" i="28" s="1"/>
  <c r="E10" i="23"/>
  <c r="AT10" i="28" s="1"/>
  <c r="E9" i="23"/>
  <c r="AT9" i="28" s="1"/>
  <c r="E8" i="23"/>
  <c r="E32" i="23" s="1"/>
  <c r="AT32" i="28" s="1"/>
  <c r="E7" i="23"/>
  <c r="AT7" i="28" s="1"/>
  <c r="E6" i="23"/>
  <c r="AT6" i="28" s="1"/>
  <c r="E5" i="23"/>
  <c r="AT5" i="28" s="1"/>
  <c r="E4" i="23"/>
  <c r="AT4" i="28" s="1"/>
  <c r="E3" i="23"/>
  <c r="AT3" i="28" s="1"/>
  <c r="E2" i="23"/>
  <c r="E31" i="22"/>
  <c r="AR31" i="28" s="1"/>
  <c r="E30" i="22"/>
  <c r="AR30" i="28" s="1"/>
  <c r="E29" i="22"/>
  <c r="AR29" i="28" s="1"/>
  <c r="E28" i="22"/>
  <c r="AR28" i="28" s="1"/>
  <c r="E27" i="22"/>
  <c r="AR27" i="28" s="1"/>
  <c r="E26" i="22"/>
  <c r="AR26" i="28" s="1"/>
  <c r="E25" i="22"/>
  <c r="AR25" i="28" s="1"/>
  <c r="E24" i="22"/>
  <c r="AR24" i="28" s="1"/>
  <c r="E23" i="22"/>
  <c r="AR23" i="28" s="1"/>
  <c r="E22" i="22"/>
  <c r="AR22" i="28" s="1"/>
  <c r="E21" i="22"/>
  <c r="AR21" i="28" s="1"/>
  <c r="E20" i="22"/>
  <c r="AR20" i="28" s="1"/>
  <c r="E19" i="22"/>
  <c r="AR19" i="28" s="1"/>
  <c r="E18" i="22"/>
  <c r="AR18" i="28" s="1"/>
  <c r="E17" i="22"/>
  <c r="AR17" i="28" s="1"/>
  <c r="E16" i="22"/>
  <c r="AR16" i="28" s="1"/>
  <c r="E15" i="22"/>
  <c r="AR15" i="28" s="1"/>
  <c r="E14" i="22"/>
  <c r="AR14" i="28" s="1"/>
  <c r="E13" i="22"/>
  <c r="AR13" i="28" s="1"/>
  <c r="E12" i="22"/>
  <c r="AR12" i="28" s="1"/>
  <c r="E11" i="22"/>
  <c r="AR11" i="28" s="1"/>
  <c r="E10" i="22"/>
  <c r="AR10" i="28" s="1"/>
  <c r="E9" i="22"/>
  <c r="AR9" i="28" s="1"/>
  <c r="E8" i="22"/>
  <c r="AR8" i="28" s="1"/>
  <c r="E7" i="22"/>
  <c r="AR7" i="28" s="1"/>
  <c r="E6" i="22"/>
  <c r="AR6" i="28" s="1"/>
  <c r="E5" i="22"/>
  <c r="AR5" i="28" s="1"/>
  <c r="E4" i="22"/>
  <c r="AR4" i="28" s="1"/>
  <c r="E3" i="22"/>
  <c r="AR3" i="28" s="1"/>
  <c r="E2" i="22"/>
  <c r="E32" i="22" s="1"/>
  <c r="AR32" i="28" s="1"/>
  <c r="E31" i="21"/>
  <c r="AP31" i="28" s="1"/>
  <c r="E30" i="21"/>
  <c r="AP30" i="28" s="1"/>
  <c r="E29" i="21"/>
  <c r="AP29" i="28" s="1"/>
  <c r="E28" i="21"/>
  <c r="AP28" i="28" s="1"/>
  <c r="E27" i="21"/>
  <c r="AP27" i="28" s="1"/>
  <c r="E26" i="21"/>
  <c r="AP26" i="28" s="1"/>
  <c r="E25" i="21"/>
  <c r="AP25" i="28" s="1"/>
  <c r="E24" i="21"/>
  <c r="AP24" i="28" s="1"/>
  <c r="E23" i="21"/>
  <c r="AP23" i="28" s="1"/>
  <c r="E22" i="21"/>
  <c r="AP22" i="28" s="1"/>
  <c r="E21" i="21"/>
  <c r="AP21" i="28" s="1"/>
  <c r="E20" i="21"/>
  <c r="AP20" i="28" s="1"/>
  <c r="E19" i="21"/>
  <c r="AP19" i="28" s="1"/>
  <c r="E18" i="21"/>
  <c r="AP18" i="28" s="1"/>
  <c r="E17" i="21"/>
  <c r="AP17" i="28" s="1"/>
  <c r="E16" i="21"/>
  <c r="AP16" i="28" s="1"/>
  <c r="E15" i="21"/>
  <c r="AP15" i="28" s="1"/>
  <c r="E14" i="21"/>
  <c r="AP14" i="28" s="1"/>
  <c r="E13" i="21"/>
  <c r="AP13" i="28" s="1"/>
  <c r="E12" i="21"/>
  <c r="AP12" i="28" s="1"/>
  <c r="E11" i="21"/>
  <c r="AP11" i="28" s="1"/>
  <c r="E10" i="21"/>
  <c r="AP10" i="28" s="1"/>
  <c r="E9" i="21"/>
  <c r="AP9" i="28" s="1"/>
  <c r="E8" i="21"/>
  <c r="AP8" i="28" s="1"/>
  <c r="E7" i="21"/>
  <c r="AP7" i="28" s="1"/>
  <c r="E6" i="21"/>
  <c r="AP6" i="28" s="1"/>
  <c r="E5" i="21"/>
  <c r="AP5" i="28" s="1"/>
  <c r="E4" i="21"/>
  <c r="AP4" i="28" s="1"/>
  <c r="E3" i="21"/>
  <c r="AP3" i="28" s="1"/>
  <c r="E2" i="21"/>
  <c r="E32" i="21" s="1"/>
  <c r="AP32" i="28" s="1"/>
  <c r="E31" i="20"/>
  <c r="AN31" i="28" s="1"/>
  <c r="E30" i="20"/>
  <c r="AN30" i="28" s="1"/>
  <c r="E29" i="20"/>
  <c r="AN29" i="28" s="1"/>
  <c r="E28" i="20"/>
  <c r="AN28" i="28" s="1"/>
  <c r="E27" i="20"/>
  <c r="AN27" i="28" s="1"/>
  <c r="E26" i="20"/>
  <c r="AN26" i="28" s="1"/>
  <c r="E25" i="20"/>
  <c r="AN25" i="28" s="1"/>
  <c r="E24" i="20"/>
  <c r="AN24" i="28" s="1"/>
  <c r="E23" i="20"/>
  <c r="AN23" i="28" s="1"/>
  <c r="E22" i="20"/>
  <c r="AN22" i="28" s="1"/>
  <c r="E21" i="20"/>
  <c r="AN21" i="28" s="1"/>
  <c r="E20" i="20"/>
  <c r="AN20" i="28" s="1"/>
  <c r="E19" i="20"/>
  <c r="AN19" i="28" s="1"/>
  <c r="E18" i="20"/>
  <c r="AN18" i="28" s="1"/>
  <c r="E17" i="20"/>
  <c r="AN17" i="28" s="1"/>
  <c r="E16" i="20"/>
  <c r="AN16" i="28" s="1"/>
  <c r="E15" i="20"/>
  <c r="AN15" i="28" s="1"/>
  <c r="E14" i="20"/>
  <c r="AN14" i="28" s="1"/>
  <c r="E13" i="20"/>
  <c r="AN13" i="28" s="1"/>
  <c r="E12" i="20"/>
  <c r="AN12" i="28" s="1"/>
  <c r="E11" i="20"/>
  <c r="AN11" i="28" s="1"/>
  <c r="E10" i="20"/>
  <c r="AN10" i="28" s="1"/>
  <c r="E9" i="20"/>
  <c r="AN9" i="28" s="1"/>
  <c r="E8" i="20"/>
  <c r="AN8" i="28" s="1"/>
  <c r="E7" i="20"/>
  <c r="AN7" i="28" s="1"/>
  <c r="E6" i="20"/>
  <c r="AN6" i="28" s="1"/>
  <c r="E5" i="20"/>
  <c r="AN5" i="28" s="1"/>
  <c r="E4" i="20"/>
  <c r="AN4" i="28" s="1"/>
  <c r="E3" i="20"/>
  <c r="AN3" i="28" s="1"/>
  <c r="E2" i="20"/>
  <c r="E32" i="20" s="1"/>
  <c r="AN32" i="28" s="1"/>
  <c r="E31" i="19"/>
  <c r="AL31" i="28" s="1"/>
  <c r="E30" i="19"/>
  <c r="AL30" i="28" s="1"/>
  <c r="E29" i="19"/>
  <c r="AL29" i="28" s="1"/>
  <c r="E28" i="19"/>
  <c r="AL28" i="28" s="1"/>
  <c r="E27" i="19"/>
  <c r="AL27" i="28" s="1"/>
  <c r="E26" i="19"/>
  <c r="AL26" i="28" s="1"/>
  <c r="E25" i="19"/>
  <c r="AL25" i="28" s="1"/>
  <c r="E24" i="19"/>
  <c r="AL24" i="28" s="1"/>
  <c r="E23" i="19"/>
  <c r="AL23" i="28" s="1"/>
  <c r="E22" i="19"/>
  <c r="AL22" i="28" s="1"/>
  <c r="E21" i="19"/>
  <c r="AL21" i="28" s="1"/>
  <c r="E20" i="19"/>
  <c r="AL20" i="28" s="1"/>
  <c r="E19" i="19"/>
  <c r="AL19" i="28" s="1"/>
  <c r="E18" i="19"/>
  <c r="AL18" i="28" s="1"/>
  <c r="E17" i="19"/>
  <c r="AL17" i="28" s="1"/>
  <c r="E16" i="19"/>
  <c r="AL16" i="28" s="1"/>
  <c r="E15" i="19"/>
  <c r="AL15" i="28" s="1"/>
  <c r="E14" i="19"/>
  <c r="AL14" i="28" s="1"/>
  <c r="E13" i="19"/>
  <c r="AL13" i="28" s="1"/>
  <c r="E12" i="19"/>
  <c r="AL12" i="28" s="1"/>
  <c r="E11" i="19"/>
  <c r="AL11" i="28" s="1"/>
  <c r="E10" i="19"/>
  <c r="AL10" i="28" s="1"/>
  <c r="E9" i="19"/>
  <c r="AL9" i="28" s="1"/>
  <c r="E8" i="19"/>
  <c r="AL8" i="28" s="1"/>
  <c r="E7" i="19"/>
  <c r="AL7" i="28" s="1"/>
  <c r="E6" i="19"/>
  <c r="AL6" i="28" s="1"/>
  <c r="E5" i="19"/>
  <c r="AL5" i="28" s="1"/>
  <c r="E4" i="19"/>
  <c r="AL4" i="28" s="1"/>
  <c r="E3" i="19"/>
  <c r="AL3" i="28" s="1"/>
  <c r="E2" i="19"/>
  <c r="E32" i="19" s="1"/>
  <c r="AL32" i="28" s="1"/>
  <c r="E31" i="18"/>
  <c r="AJ31" i="28" s="1"/>
  <c r="E30" i="18"/>
  <c r="AJ30" i="28" s="1"/>
  <c r="E29" i="18"/>
  <c r="AJ29" i="28" s="1"/>
  <c r="E28" i="18"/>
  <c r="AJ28" i="28" s="1"/>
  <c r="E27" i="18"/>
  <c r="AJ27" i="28" s="1"/>
  <c r="E26" i="18"/>
  <c r="AJ26" i="28" s="1"/>
  <c r="E25" i="18"/>
  <c r="AJ25" i="28" s="1"/>
  <c r="E24" i="18"/>
  <c r="AJ24" i="28" s="1"/>
  <c r="E23" i="18"/>
  <c r="AJ23" i="28" s="1"/>
  <c r="E22" i="18"/>
  <c r="AJ22" i="28" s="1"/>
  <c r="E21" i="18"/>
  <c r="AJ21" i="28" s="1"/>
  <c r="E20" i="18"/>
  <c r="AJ20" i="28" s="1"/>
  <c r="E19" i="18"/>
  <c r="AJ19" i="28" s="1"/>
  <c r="E18" i="18"/>
  <c r="AJ18" i="28" s="1"/>
  <c r="E17" i="18"/>
  <c r="AJ17" i="28" s="1"/>
  <c r="E16" i="18"/>
  <c r="AJ16" i="28" s="1"/>
  <c r="E15" i="18"/>
  <c r="AJ15" i="28" s="1"/>
  <c r="E14" i="18"/>
  <c r="AJ14" i="28" s="1"/>
  <c r="E13" i="18"/>
  <c r="AJ13" i="28" s="1"/>
  <c r="E12" i="18"/>
  <c r="AJ12" i="28" s="1"/>
  <c r="E11" i="18"/>
  <c r="AJ11" i="28" s="1"/>
  <c r="E10" i="18"/>
  <c r="AJ10" i="28" s="1"/>
  <c r="E9" i="18"/>
  <c r="AJ9" i="28" s="1"/>
  <c r="E8" i="18"/>
  <c r="AJ8" i="28" s="1"/>
  <c r="E7" i="18"/>
  <c r="AJ7" i="28" s="1"/>
  <c r="E6" i="18"/>
  <c r="AJ6" i="28" s="1"/>
  <c r="E5" i="18"/>
  <c r="AJ5" i="28" s="1"/>
  <c r="E4" i="18"/>
  <c r="AJ4" i="28" s="1"/>
  <c r="E3" i="18"/>
  <c r="AJ3" i="28" s="1"/>
  <c r="E2" i="18"/>
  <c r="E32" i="18" s="1"/>
  <c r="AJ32" i="28" s="1"/>
  <c r="E31" i="17"/>
  <c r="AH31" i="28" s="1"/>
  <c r="E30" i="17"/>
  <c r="AH30" i="28" s="1"/>
  <c r="E29" i="17"/>
  <c r="AH29" i="28" s="1"/>
  <c r="E28" i="17"/>
  <c r="AH28" i="28" s="1"/>
  <c r="E27" i="17"/>
  <c r="AH27" i="28" s="1"/>
  <c r="E26" i="17"/>
  <c r="AH26" i="28" s="1"/>
  <c r="E25" i="17"/>
  <c r="AH25" i="28" s="1"/>
  <c r="E24" i="17"/>
  <c r="AH24" i="28" s="1"/>
  <c r="E23" i="17"/>
  <c r="AH23" i="28" s="1"/>
  <c r="E22" i="17"/>
  <c r="AH22" i="28" s="1"/>
  <c r="E21" i="17"/>
  <c r="AH21" i="28" s="1"/>
  <c r="E20" i="17"/>
  <c r="AH20" i="28" s="1"/>
  <c r="E19" i="17"/>
  <c r="AH19" i="28" s="1"/>
  <c r="E18" i="17"/>
  <c r="AH18" i="28" s="1"/>
  <c r="E17" i="17"/>
  <c r="AH17" i="28" s="1"/>
  <c r="E16" i="17"/>
  <c r="AH16" i="28" s="1"/>
  <c r="E15" i="17"/>
  <c r="AH15" i="28" s="1"/>
  <c r="E14" i="17"/>
  <c r="AH14" i="28" s="1"/>
  <c r="E13" i="17"/>
  <c r="AH13" i="28" s="1"/>
  <c r="E12" i="17"/>
  <c r="AH12" i="28" s="1"/>
  <c r="E11" i="17"/>
  <c r="AH11" i="28" s="1"/>
  <c r="E10" i="17"/>
  <c r="AH10" i="28" s="1"/>
  <c r="E9" i="17"/>
  <c r="AH9" i="28" s="1"/>
  <c r="E8" i="17"/>
  <c r="AH8" i="28" s="1"/>
  <c r="E7" i="17"/>
  <c r="AH7" i="28" s="1"/>
  <c r="E6" i="17"/>
  <c r="AH6" i="28" s="1"/>
  <c r="E5" i="17"/>
  <c r="AH5" i="28" s="1"/>
  <c r="E4" i="17"/>
  <c r="AH4" i="28" s="1"/>
  <c r="E3" i="17"/>
  <c r="AH3" i="28" s="1"/>
  <c r="E2" i="17"/>
  <c r="E32" i="17" s="1"/>
  <c r="AH32" i="28" s="1"/>
  <c r="E31" i="16"/>
  <c r="AF31" i="28" s="1"/>
  <c r="E30" i="16"/>
  <c r="AF30" i="28" s="1"/>
  <c r="E29" i="16"/>
  <c r="AF29" i="28" s="1"/>
  <c r="E28" i="16"/>
  <c r="AF28" i="28" s="1"/>
  <c r="E27" i="16"/>
  <c r="AF27" i="28" s="1"/>
  <c r="E26" i="16"/>
  <c r="AF26" i="28" s="1"/>
  <c r="E25" i="16"/>
  <c r="AF25" i="28" s="1"/>
  <c r="E24" i="16"/>
  <c r="AF24" i="28" s="1"/>
  <c r="E23" i="16"/>
  <c r="AF23" i="28" s="1"/>
  <c r="E22" i="16"/>
  <c r="AF22" i="28" s="1"/>
  <c r="E21" i="16"/>
  <c r="AF21" i="28" s="1"/>
  <c r="E20" i="16"/>
  <c r="AF20" i="28" s="1"/>
  <c r="E19" i="16"/>
  <c r="AF19" i="28" s="1"/>
  <c r="E18" i="16"/>
  <c r="AF18" i="28" s="1"/>
  <c r="E17" i="16"/>
  <c r="AF17" i="28" s="1"/>
  <c r="E16" i="16"/>
  <c r="AF16" i="28" s="1"/>
  <c r="E15" i="16"/>
  <c r="AF15" i="28" s="1"/>
  <c r="E14" i="16"/>
  <c r="AF14" i="28" s="1"/>
  <c r="E13" i="16"/>
  <c r="AF13" i="28" s="1"/>
  <c r="E12" i="16"/>
  <c r="AF12" i="28" s="1"/>
  <c r="E11" i="16"/>
  <c r="AF11" i="28" s="1"/>
  <c r="E10" i="16"/>
  <c r="AF10" i="28" s="1"/>
  <c r="E9" i="16"/>
  <c r="AF9" i="28" s="1"/>
  <c r="E8" i="16"/>
  <c r="AF8" i="28" s="1"/>
  <c r="E7" i="16"/>
  <c r="AF7" i="28" s="1"/>
  <c r="E6" i="16"/>
  <c r="AF6" i="28" s="1"/>
  <c r="E5" i="16"/>
  <c r="AF5" i="28" s="1"/>
  <c r="E4" i="16"/>
  <c r="AF4" i="28" s="1"/>
  <c r="E3" i="16"/>
  <c r="AF3" i="28" s="1"/>
  <c r="E2" i="16"/>
  <c r="E32" i="16" s="1"/>
  <c r="AF32" i="28" s="1"/>
  <c r="E31" i="15"/>
  <c r="AD31" i="28" s="1"/>
  <c r="E30" i="15"/>
  <c r="AD30" i="28" s="1"/>
  <c r="E29" i="15"/>
  <c r="AD29" i="28" s="1"/>
  <c r="E28" i="15"/>
  <c r="AD28" i="28" s="1"/>
  <c r="E27" i="15"/>
  <c r="AD27" i="28" s="1"/>
  <c r="E26" i="15"/>
  <c r="AD26" i="28" s="1"/>
  <c r="E25" i="15"/>
  <c r="AD25" i="28" s="1"/>
  <c r="E24" i="15"/>
  <c r="AD24" i="28" s="1"/>
  <c r="E23" i="15"/>
  <c r="AD23" i="28" s="1"/>
  <c r="E22" i="15"/>
  <c r="AD22" i="28" s="1"/>
  <c r="E21" i="15"/>
  <c r="AD21" i="28" s="1"/>
  <c r="E20" i="15"/>
  <c r="AD20" i="28" s="1"/>
  <c r="E19" i="15"/>
  <c r="AD19" i="28" s="1"/>
  <c r="E18" i="15"/>
  <c r="AD18" i="28" s="1"/>
  <c r="E17" i="15"/>
  <c r="AD17" i="28" s="1"/>
  <c r="E16" i="15"/>
  <c r="AD16" i="28" s="1"/>
  <c r="E15" i="15"/>
  <c r="AD15" i="28" s="1"/>
  <c r="E14" i="15"/>
  <c r="AD14" i="28" s="1"/>
  <c r="E13" i="15"/>
  <c r="AD13" i="28" s="1"/>
  <c r="E12" i="15"/>
  <c r="AD12" i="28" s="1"/>
  <c r="E11" i="15"/>
  <c r="AD11" i="28" s="1"/>
  <c r="E10" i="15"/>
  <c r="AD10" i="28" s="1"/>
  <c r="E9" i="15"/>
  <c r="AD9" i="28" s="1"/>
  <c r="E8" i="15"/>
  <c r="AD8" i="28" s="1"/>
  <c r="E7" i="15"/>
  <c r="AD7" i="28" s="1"/>
  <c r="E6" i="15"/>
  <c r="AD6" i="28" s="1"/>
  <c r="E5" i="15"/>
  <c r="AD5" i="28" s="1"/>
  <c r="E4" i="15"/>
  <c r="AD4" i="28" s="1"/>
  <c r="E3" i="15"/>
  <c r="AD3" i="28" s="1"/>
  <c r="E2" i="15"/>
  <c r="E31" i="14"/>
  <c r="AB31" i="28" s="1"/>
  <c r="E30" i="14"/>
  <c r="AB30" i="28" s="1"/>
  <c r="E29" i="14"/>
  <c r="AB29" i="28" s="1"/>
  <c r="E28" i="14"/>
  <c r="AB28" i="28" s="1"/>
  <c r="E27" i="14"/>
  <c r="AB27" i="28" s="1"/>
  <c r="E26" i="14"/>
  <c r="AB26" i="28" s="1"/>
  <c r="E25" i="14"/>
  <c r="AB25" i="28" s="1"/>
  <c r="E24" i="14"/>
  <c r="AB24" i="28" s="1"/>
  <c r="E23" i="14"/>
  <c r="AB23" i="28" s="1"/>
  <c r="E22" i="14"/>
  <c r="AB22" i="28" s="1"/>
  <c r="E21" i="14"/>
  <c r="AB21" i="28" s="1"/>
  <c r="E20" i="14"/>
  <c r="AB20" i="28" s="1"/>
  <c r="E19" i="14"/>
  <c r="AB19" i="28" s="1"/>
  <c r="E18" i="14"/>
  <c r="AB18" i="28" s="1"/>
  <c r="E17" i="14"/>
  <c r="AB17" i="28" s="1"/>
  <c r="E16" i="14"/>
  <c r="AB16" i="28" s="1"/>
  <c r="E15" i="14"/>
  <c r="AB15" i="28" s="1"/>
  <c r="E14" i="14"/>
  <c r="AB14" i="28" s="1"/>
  <c r="E13" i="14"/>
  <c r="AB13" i="28" s="1"/>
  <c r="E12" i="14"/>
  <c r="AB12" i="28" s="1"/>
  <c r="E11" i="14"/>
  <c r="AB11" i="28" s="1"/>
  <c r="E10" i="14"/>
  <c r="AB10" i="28" s="1"/>
  <c r="E9" i="14"/>
  <c r="AB9" i="28" s="1"/>
  <c r="E8" i="14"/>
  <c r="AB8" i="28" s="1"/>
  <c r="E7" i="14"/>
  <c r="AB7" i="28" s="1"/>
  <c r="E6" i="14"/>
  <c r="AB6" i="28" s="1"/>
  <c r="E5" i="14"/>
  <c r="AB5" i="28" s="1"/>
  <c r="E4" i="14"/>
  <c r="AB4" i="28" s="1"/>
  <c r="E3" i="14"/>
  <c r="AB3" i="28" s="1"/>
  <c r="E2" i="14"/>
  <c r="E32" i="14" s="1"/>
  <c r="AB32" i="28" s="1"/>
  <c r="E31" i="13"/>
  <c r="Z31" i="28" s="1"/>
  <c r="E30" i="13"/>
  <c r="Z30" i="28" s="1"/>
  <c r="E29" i="13"/>
  <c r="Z29" i="28" s="1"/>
  <c r="E28" i="13"/>
  <c r="Z28" i="28" s="1"/>
  <c r="E27" i="13"/>
  <c r="Z27" i="28" s="1"/>
  <c r="E26" i="13"/>
  <c r="Z26" i="28" s="1"/>
  <c r="E25" i="13"/>
  <c r="Z25" i="28" s="1"/>
  <c r="E24" i="13"/>
  <c r="Z24" i="28" s="1"/>
  <c r="E23" i="13"/>
  <c r="Z23" i="28" s="1"/>
  <c r="E22" i="13"/>
  <c r="Z22" i="28" s="1"/>
  <c r="E21" i="13"/>
  <c r="Z21" i="28" s="1"/>
  <c r="E20" i="13"/>
  <c r="Z20" i="28" s="1"/>
  <c r="E19" i="13"/>
  <c r="Z19" i="28" s="1"/>
  <c r="E18" i="13"/>
  <c r="Z18" i="28" s="1"/>
  <c r="E17" i="13"/>
  <c r="Z17" i="28" s="1"/>
  <c r="E16" i="13"/>
  <c r="Z16" i="28" s="1"/>
  <c r="E15" i="13"/>
  <c r="Z15" i="28" s="1"/>
  <c r="E14" i="13"/>
  <c r="Z14" i="28" s="1"/>
  <c r="E13" i="13"/>
  <c r="Z13" i="28" s="1"/>
  <c r="E12" i="13"/>
  <c r="Z12" i="28" s="1"/>
  <c r="E11" i="13"/>
  <c r="Z11" i="28" s="1"/>
  <c r="E10" i="13"/>
  <c r="Z10" i="28" s="1"/>
  <c r="E9" i="13"/>
  <c r="Z9" i="28" s="1"/>
  <c r="E8" i="13"/>
  <c r="Z8" i="28" s="1"/>
  <c r="E7" i="13"/>
  <c r="Z7" i="28" s="1"/>
  <c r="E6" i="13"/>
  <c r="Z6" i="28" s="1"/>
  <c r="E5" i="13"/>
  <c r="Z5" i="28" s="1"/>
  <c r="E4" i="13"/>
  <c r="Z4" i="28" s="1"/>
  <c r="E3" i="13"/>
  <c r="Z3" i="28" s="1"/>
  <c r="E2" i="13"/>
  <c r="E32" i="13" s="1"/>
  <c r="Z32" i="28" s="1"/>
  <c r="E31" i="12"/>
  <c r="X31" i="28" s="1"/>
  <c r="E30" i="12"/>
  <c r="X30" i="28" s="1"/>
  <c r="E29" i="12"/>
  <c r="X29" i="28" s="1"/>
  <c r="E28" i="12"/>
  <c r="X28" i="28" s="1"/>
  <c r="E27" i="12"/>
  <c r="X27" i="28" s="1"/>
  <c r="E26" i="12"/>
  <c r="X26" i="28" s="1"/>
  <c r="E25" i="12"/>
  <c r="X25" i="28" s="1"/>
  <c r="E24" i="12"/>
  <c r="X24" i="28" s="1"/>
  <c r="E23" i="12"/>
  <c r="X23" i="28" s="1"/>
  <c r="E22" i="12"/>
  <c r="X22" i="28" s="1"/>
  <c r="E21" i="12"/>
  <c r="X21" i="28" s="1"/>
  <c r="E20" i="12"/>
  <c r="X20" i="28" s="1"/>
  <c r="E19" i="12"/>
  <c r="X19" i="28" s="1"/>
  <c r="E18" i="12"/>
  <c r="X18" i="28" s="1"/>
  <c r="E17" i="12"/>
  <c r="X17" i="28" s="1"/>
  <c r="E16" i="12"/>
  <c r="X16" i="28" s="1"/>
  <c r="E15" i="12"/>
  <c r="X15" i="28" s="1"/>
  <c r="E14" i="12"/>
  <c r="X14" i="28" s="1"/>
  <c r="E13" i="12"/>
  <c r="X13" i="28" s="1"/>
  <c r="E12" i="12"/>
  <c r="X12" i="28" s="1"/>
  <c r="E11" i="12"/>
  <c r="X11" i="28" s="1"/>
  <c r="E10" i="12"/>
  <c r="X10" i="28" s="1"/>
  <c r="E9" i="12"/>
  <c r="X9" i="28" s="1"/>
  <c r="E8" i="12"/>
  <c r="X8" i="28" s="1"/>
  <c r="E7" i="12"/>
  <c r="X7" i="28" s="1"/>
  <c r="E6" i="12"/>
  <c r="X6" i="28" s="1"/>
  <c r="E5" i="12"/>
  <c r="X5" i="28" s="1"/>
  <c r="E4" i="12"/>
  <c r="X4" i="28" s="1"/>
  <c r="E3" i="12"/>
  <c r="X3" i="28" s="1"/>
  <c r="E2" i="12"/>
  <c r="E32" i="12" s="1"/>
  <c r="X32" i="28" s="1"/>
  <c r="E31" i="11"/>
  <c r="V31" i="28" s="1"/>
  <c r="E30" i="11"/>
  <c r="V30" i="28" s="1"/>
  <c r="E29" i="11"/>
  <c r="V29" i="28" s="1"/>
  <c r="E28" i="11"/>
  <c r="V28" i="28" s="1"/>
  <c r="E27" i="11"/>
  <c r="V27" i="28" s="1"/>
  <c r="E26" i="11"/>
  <c r="V26" i="28" s="1"/>
  <c r="E25" i="11"/>
  <c r="V25" i="28" s="1"/>
  <c r="E24" i="11"/>
  <c r="V24" i="28" s="1"/>
  <c r="E23" i="11"/>
  <c r="V23" i="28" s="1"/>
  <c r="E22" i="11"/>
  <c r="V22" i="28" s="1"/>
  <c r="E21" i="11"/>
  <c r="V21" i="28" s="1"/>
  <c r="E20" i="11"/>
  <c r="V20" i="28" s="1"/>
  <c r="E19" i="11"/>
  <c r="V19" i="28" s="1"/>
  <c r="E18" i="11"/>
  <c r="V18" i="28" s="1"/>
  <c r="E17" i="11"/>
  <c r="V17" i="28" s="1"/>
  <c r="E16" i="11"/>
  <c r="V16" i="28" s="1"/>
  <c r="E15" i="11"/>
  <c r="V15" i="28" s="1"/>
  <c r="E14" i="11"/>
  <c r="V14" i="28" s="1"/>
  <c r="E13" i="11"/>
  <c r="V13" i="28" s="1"/>
  <c r="E12" i="11"/>
  <c r="V12" i="28" s="1"/>
  <c r="E11" i="11"/>
  <c r="V11" i="28" s="1"/>
  <c r="E10" i="11"/>
  <c r="V10" i="28" s="1"/>
  <c r="E9" i="11"/>
  <c r="V9" i="28" s="1"/>
  <c r="E8" i="11"/>
  <c r="E32" i="11" s="1"/>
  <c r="V32" i="28" s="1"/>
  <c r="E7" i="11"/>
  <c r="V7" i="28" s="1"/>
  <c r="E6" i="11"/>
  <c r="V6" i="28" s="1"/>
  <c r="E5" i="11"/>
  <c r="V5" i="28" s="1"/>
  <c r="E4" i="11"/>
  <c r="V4" i="28" s="1"/>
  <c r="E3" i="11"/>
  <c r="V3" i="28" s="1"/>
  <c r="E2" i="11"/>
  <c r="E31" i="10"/>
  <c r="T31" i="28" s="1"/>
  <c r="E30" i="10"/>
  <c r="T30" i="28" s="1"/>
  <c r="E29" i="10"/>
  <c r="T29" i="28" s="1"/>
  <c r="E28" i="10"/>
  <c r="T28" i="28" s="1"/>
  <c r="E27" i="10"/>
  <c r="T27" i="28" s="1"/>
  <c r="E26" i="10"/>
  <c r="T26" i="28" s="1"/>
  <c r="E25" i="10"/>
  <c r="T25" i="28" s="1"/>
  <c r="E24" i="10"/>
  <c r="T24" i="28" s="1"/>
  <c r="E23" i="10"/>
  <c r="T23" i="28" s="1"/>
  <c r="E22" i="10"/>
  <c r="T22" i="28" s="1"/>
  <c r="E21" i="10"/>
  <c r="T21" i="28" s="1"/>
  <c r="E20" i="10"/>
  <c r="T20" i="28" s="1"/>
  <c r="E19" i="10"/>
  <c r="T19" i="28" s="1"/>
  <c r="E18" i="10"/>
  <c r="T18" i="28" s="1"/>
  <c r="E17" i="10"/>
  <c r="T17" i="28" s="1"/>
  <c r="E16" i="10"/>
  <c r="T16" i="28" s="1"/>
  <c r="E15" i="10"/>
  <c r="T15" i="28" s="1"/>
  <c r="E14" i="10"/>
  <c r="T14" i="28" s="1"/>
  <c r="E13" i="10"/>
  <c r="T13" i="28" s="1"/>
  <c r="E12" i="10"/>
  <c r="T12" i="28" s="1"/>
  <c r="E11" i="10"/>
  <c r="T11" i="28" s="1"/>
  <c r="E10" i="10"/>
  <c r="T10" i="28" s="1"/>
  <c r="E9" i="10"/>
  <c r="T9" i="28" s="1"/>
  <c r="E8" i="10"/>
  <c r="T8" i="28" s="1"/>
  <c r="E7" i="10"/>
  <c r="T7" i="28" s="1"/>
  <c r="E6" i="10"/>
  <c r="T6" i="28" s="1"/>
  <c r="E5" i="10"/>
  <c r="T5" i="28" s="1"/>
  <c r="E4" i="10"/>
  <c r="T4" i="28" s="1"/>
  <c r="E3" i="10"/>
  <c r="T3" i="28" s="1"/>
  <c r="E2" i="10"/>
  <c r="E32" i="10" s="1"/>
  <c r="T32" i="28" s="1"/>
  <c r="E31" i="9"/>
  <c r="R31" i="28" s="1"/>
  <c r="E30" i="9"/>
  <c r="R30" i="28" s="1"/>
  <c r="E29" i="9"/>
  <c r="R29" i="28" s="1"/>
  <c r="E28" i="9"/>
  <c r="R28" i="28" s="1"/>
  <c r="E27" i="9"/>
  <c r="R27" i="28" s="1"/>
  <c r="E26" i="9"/>
  <c r="R26" i="28" s="1"/>
  <c r="E25" i="9"/>
  <c r="R25" i="28" s="1"/>
  <c r="E24" i="9"/>
  <c r="R24" i="28" s="1"/>
  <c r="E23" i="9"/>
  <c r="R23" i="28" s="1"/>
  <c r="E22" i="9"/>
  <c r="R22" i="28" s="1"/>
  <c r="E21" i="9"/>
  <c r="R21" i="28" s="1"/>
  <c r="E20" i="9"/>
  <c r="R20" i="28" s="1"/>
  <c r="E19" i="9"/>
  <c r="R19" i="28" s="1"/>
  <c r="E18" i="9"/>
  <c r="R18" i="28" s="1"/>
  <c r="E17" i="9"/>
  <c r="R17" i="28" s="1"/>
  <c r="E16" i="9"/>
  <c r="R16" i="28" s="1"/>
  <c r="E15" i="9"/>
  <c r="R15" i="28" s="1"/>
  <c r="E14" i="9"/>
  <c r="R14" i="28" s="1"/>
  <c r="E13" i="9"/>
  <c r="R13" i="28" s="1"/>
  <c r="E12" i="9"/>
  <c r="R12" i="28" s="1"/>
  <c r="E11" i="9"/>
  <c r="R11" i="28" s="1"/>
  <c r="E10" i="9"/>
  <c r="R10" i="28" s="1"/>
  <c r="E9" i="9"/>
  <c r="R9" i="28" s="1"/>
  <c r="E8" i="9"/>
  <c r="R8" i="28" s="1"/>
  <c r="E7" i="9"/>
  <c r="R7" i="28" s="1"/>
  <c r="E6" i="9"/>
  <c r="R6" i="28" s="1"/>
  <c r="E5" i="9"/>
  <c r="R5" i="28" s="1"/>
  <c r="E4" i="9"/>
  <c r="R4" i="28" s="1"/>
  <c r="E3" i="9"/>
  <c r="R3" i="28" s="1"/>
  <c r="E2" i="9"/>
  <c r="E32" i="9" s="1"/>
  <c r="R32" i="28" s="1"/>
  <c r="E31" i="8"/>
  <c r="P31" i="28" s="1"/>
  <c r="E30" i="8"/>
  <c r="P30" i="28" s="1"/>
  <c r="E29" i="8"/>
  <c r="P29" i="28" s="1"/>
  <c r="E28" i="8"/>
  <c r="P28" i="28" s="1"/>
  <c r="E27" i="8"/>
  <c r="P27" i="28" s="1"/>
  <c r="E26" i="8"/>
  <c r="P26" i="28" s="1"/>
  <c r="E25" i="8"/>
  <c r="P25" i="28" s="1"/>
  <c r="E24" i="8"/>
  <c r="P24" i="28" s="1"/>
  <c r="E23" i="8"/>
  <c r="P23" i="28" s="1"/>
  <c r="E22" i="8"/>
  <c r="P22" i="28" s="1"/>
  <c r="E21" i="8"/>
  <c r="P21" i="28" s="1"/>
  <c r="E20" i="8"/>
  <c r="P20" i="28" s="1"/>
  <c r="E19" i="8"/>
  <c r="P19" i="28" s="1"/>
  <c r="E18" i="8"/>
  <c r="P18" i="28" s="1"/>
  <c r="E17" i="8"/>
  <c r="P17" i="28" s="1"/>
  <c r="E16" i="8"/>
  <c r="P16" i="28" s="1"/>
  <c r="E15" i="8"/>
  <c r="P15" i="28" s="1"/>
  <c r="E14" i="8"/>
  <c r="P14" i="28" s="1"/>
  <c r="E13" i="8"/>
  <c r="P13" i="28" s="1"/>
  <c r="E12" i="8"/>
  <c r="P12" i="28" s="1"/>
  <c r="E11" i="8"/>
  <c r="P11" i="28" s="1"/>
  <c r="E10" i="8"/>
  <c r="P10" i="28" s="1"/>
  <c r="E9" i="8"/>
  <c r="P9" i="28" s="1"/>
  <c r="E8" i="8"/>
  <c r="P8" i="28" s="1"/>
  <c r="E7" i="8"/>
  <c r="P7" i="28" s="1"/>
  <c r="E6" i="8"/>
  <c r="P6" i="28" s="1"/>
  <c r="E5" i="8"/>
  <c r="P5" i="28" s="1"/>
  <c r="E4" i="8"/>
  <c r="P4" i="28" s="1"/>
  <c r="E3" i="8"/>
  <c r="P3" i="28" s="1"/>
  <c r="E2" i="8"/>
  <c r="E32" i="8" s="1"/>
  <c r="P32" i="28" s="1"/>
  <c r="E31" i="7"/>
  <c r="N31" i="28" s="1"/>
  <c r="E30" i="7"/>
  <c r="N30" i="28" s="1"/>
  <c r="E29" i="7"/>
  <c r="N29" i="28" s="1"/>
  <c r="E28" i="7"/>
  <c r="N28" i="28" s="1"/>
  <c r="E27" i="7"/>
  <c r="N27" i="28" s="1"/>
  <c r="E26" i="7"/>
  <c r="N26" i="28" s="1"/>
  <c r="E25" i="7"/>
  <c r="N25" i="28" s="1"/>
  <c r="E24" i="7"/>
  <c r="N24" i="28" s="1"/>
  <c r="E23" i="7"/>
  <c r="N23" i="28" s="1"/>
  <c r="E22" i="7"/>
  <c r="N22" i="28" s="1"/>
  <c r="E21" i="7"/>
  <c r="N21" i="28" s="1"/>
  <c r="E20" i="7"/>
  <c r="N20" i="28" s="1"/>
  <c r="E19" i="7"/>
  <c r="N19" i="28" s="1"/>
  <c r="E18" i="7"/>
  <c r="N18" i="28" s="1"/>
  <c r="E17" i="7"/>
  <c r="N17" i="28" s="1"/>
  <c r="E16" i="7"/>
  <c r="N16" i="28" s="1"/>
  <c r="E15" i="7"/>
  <c r="N15" i="28" s="1"/>
  <c r="E14" i="7"/>
  <c r="N14" i="28" s="1"/>
  <c r="E13" i="7"/>
  <c r="N13" i="28" s="1"/>
  <c r="E12" i="7"/>
  <c r="N12" i="28" s="1"/>
  <c r="E11" i="7"/>
  <c r="N11" i="28" s="1"/>
  <c r="E10" i="7"/>
  <c r="N10" i="28" s="1"/>
  <c r="E9" i="7"/>
  <c r="N9" i="28" s="1"/>
  <c r="E8" i="7"/>
  <c r="N8" i="28" s="1"/>
  <c r="E7" i="7"/>
  <c r="N7" i="28" s="1"/>
  <c r="E6" i="7"/>
  <c r="N6" i="28" s="1"/>
  <c r="E5" i="7"/>
  <c r="N5" i="28" s="1"/>
  <c r="E4" i="7"/>
  <c r="N4" i="28" s="1"/>
  <c r="E3" i="7"/>
  <c r="N3" i="28" s="1"/>
  <c r="E2" i="7"/>
  <c r="E32" i="7" s="1"/>
  <c r="N32" i="28" s="1"/>
  <c r="E31" i="6"/>
  <c r="L31" i="28" s="1"/>
  <c r="E30" i="6"/>
  <c r="L30" i="28" s="1"/>
  <c r="E29" i="6"/>
  <c r="L29" i="28" s="1"/>
  <c r="E28" i="6"/>
  <c r="L28" i="28" s="1"/>
  <c r="E27" i="6"/>
  <c r="L27" i="28" s="1"/>
  <c r="E26" i="6"/>
  <c r="L26" i="28" s="1"/>
  <c r="E25" i="6"/>
  <c r="L25" i="28" s="1"/>
  <c r="E24" i="6"/>
  <c r="L24" i="28" s="1"/>
  <c r="E23" i="6"/>
  <c r="L23" i="28" s="1"/>
  <c r="E22" i="6"/>
  <c r="L22" i="28" s="1"/>
  <c r="E21" i="6"/>
  <c r="L21" i="28" s="1"/>
  <c r="E20" i="6"/>
  <c r="L20" i="28" s="1"/>
  <c r="E19" i="6"/>
  <c r="L19" i="28" s="1"/>
  <c r="E18" i="6"/>
  <c r="L18" i="28" s="1"/>
  <c r="E17" i="6"/>
  <c r="L17" i="28" s="1"/>
  <c r="E16" i="6"/>
  <c r="L16" i="28" s="1"/>
  <c r="E15" i="6"/>
  <c r="L15" i="28" s="1"/>
  <c r="E14" i="6"/>
  <c r="L14" i="28" s="1"/>
  <c r="E13" i="6"/>
  <c r="L13" i="28" s="1"/>
  <c r="E12" i="6"/>
  <c r="L12" i="28" s="1"/>
  <c r="E11" i="6"/>
  <c r="L11" i="28" s="1"/>
  <c r="E10" i="6"/>
  <c r="L10" i="28" s="1"/>
  <c r="E9" i="6"/>
  <c r="L9" i="28" s="1"/>
  <c r="E8" i="6"/>
  <c r="L8" i="28" s="1"/>
  <c r="E7" i="6"/>
  <c r="L7" i="28" s="1"/>
  <c r="E6" i="6"/>
  <c r="L6" i="28" s="1"/>
  <c r="E5" i="6"/>
  <c r="L5" i="28" s="1"/>
  <c r="E4" i="6"/>
  <c r="L4" i="28" s="1"/>
  <c r="E3" i="6"/>
  <c r="L3" i="28" s="1"/>
  <c r="E2" i="6"/>
  <c r="E32" i="6" s="1"/>
  <c r="L32" i="28" s="1"/>
  <c r="E31" i="5"/>
  <c r="J31" i="28" s="1"/>
  <c r="E30" i="5"/>
  <c r="J30" i="28" s="1"/>
  <c r="E29" i="5"/>
  <c r="J29" i="28" s="1"/>
  <c r="E28" i="5"/>
  <c r="J28" i="28" s="1"/>
  <c r="E27" i="5"/>
  <c r="J27" i="28" s="1"/>
  <c r="E26" i="5"/>
  <c r="J26" i="28" s="1"/>
  <c r="E25" i="5"/>
  <c r="J25" i="28" s="1"/>
  <c r="E24" i="5"/>
  <c r="J24" i="28" s="1"/>
  <c r="E23" i="5"/>
  <c r="J23" i="28" s="1"/>
  <c r="E22" i="5"/>
  <c r="J22" i="28" s="1"/>
  <c r="E21" i="5"/>
  <c r="J21" i="28" s="1"/>
  <c r="E20" i="5"/>
  <c r="J20" i="28" s="1"/>
  <c r="E19" i="5"/>
  <c r="J19" i="28" s="1"/>
  <c r="E18" i="5"/>
  <c r="J18" i="28" s="1"/>
  <c r="E17" i="5"/>
  <c r="J17" i="28" s="1"/>
  <c r="E16" i="5"/>
  <c r="J16" i="28" s="1"/>
  <c r="E15" i="5"/>
  <c r="J15" i="28" s="1"/>
  <c r="E14" i="5"/>
  <c r="J14" i="28" s="1"/>
  <c r="E13" i="5"/>
  <c r="J13" i="28" s="1"/>
  <c r="E12" i="5"/>
  <c r="J12" i="28" s="1"/>
  <c r="E11" i="5"/>
  <c r="J11" i="28" s="1"/>
  <c r="E10" i="5"/>
  <c r="J10" i="28" s="1"/>
  <c r="E9" i="5"/>
  <c r="J9" i="28" s="1"/>
  <c r="E8" i="5"/>
  <c r="J8" i="28" s="1"/>
  <c r="E7" i="5"/>
  <c r="J7" i="28" s="1"/>
  <c r="E6" i="5"/>
  <c r="J6" i="28" s="1"/>
  <c r="E5" i="5"/>
  <c r="J5" i="28" s="1"/>
  <c r="E4" i="5"/>
  <c r="J4" i="28" s="1"/>
  <c r="E3" i="5"/>
  <c r="J3" i="28" s="1"/>
  <c r="E2" i="5"/>
  <c r="E32" i="5" s="1"/>
  <c r="J32" i="28" s="1"/>
  <c r="E31" i="4"/>
  <c r="H31" i="28" s="1"/>
  <c r="E30" i="4"/>
  <c r="H30" i="28" s="1"/>
  <c r="E29" i="4"/>
  <c r="H29" i="28" s="1"/>
  <c r="E28" i="4"/>
  <c r="H28" i="28" s="1"/>
  <c r="E27" i="4"/>
  <c r="H27" i="28" s="1"/>
  <c r="E26" i="4"/>
  <c r="H26" i="28" s="1"/>
  <c r="E25" i="4"/>
  <c r="H25" i="28" s="1"/>
  <c r="E24" i="4"/>
  <c r="H24" i="28" s="1"/>
  <c r="E23" i="4"/>
  <c r="H23" i="28" s="1"/>
  <c r="E22" i="4"/>
  <c r="H22" i="28" s="1"/>
  <c r="E21" i="4"/>
  <c r="H21" i="28" s="1"/>
  <c r="E20" i="4"/>
  <c r="H20" i="28" s="1"/>
  <c r="E19" i="4"/>
  <c r="H19" i="28" s="1"/>
  <c r="E18" i="4"/>
  <c r="H18" i="28" s="1"/>
  <c r="E17" i="4"/>
  <c r="H17" i="28" s="1"/>
  <c r="E16" i="4"/>
  <c r="H16" i="28" s="1"/>
  <c r="E15" i="4"/>
  <c r="H15" i="28" s="1"/>
  <c r="E14" i="4"/>
  <c r="H14" i="28" s="1"/>
  <c r="E13" i="4"/>
  <c r="H13" i="28" s="1"/>
  <c r="E12" i="4"/>
  <c r="H12" i="28" s="1"/>
  <c r="E11" i="4"/>
  <c r="H11" i="28" s="1"/>
  <c r="E10" i="4"/>
  <c r="H10" i="28" s="1"/>
  <c r="E9" i="4"/>
  <c r="H9" i="28" s="1"/>
  <c r="E8" i="4"/>
  <c r="H8" i="28" s="1"/>
  <c r="E7" i="4"/>
  <c r="H7" i="28" s="1"/>
  <c r="E6" i="4"/>
  <c r="H6" i="28" s="1"/>
  <c r="E5" i="4"/>
  <c r="H5" i="28" s="1"/>
  <c r="E4" i="4"/>
  <c r="H4" i="28" s="1"/>
  <c r="E3" i="4"/>
  <c r="H3" i="28" s="1"/>
  <c r="E2" i="4"/>
  <c r="E32" i="4" s="1"/>
  <c r="H32" i="28" s="1"/>
  <c r="E31" i="3"/>
  <c r="F31" i="28" s="1"/>
  <c r="E30" i="3"/>
  <c r="F30" i="28" s="1"/>
  <c r="E29" i="3"/>
  <c r="F29" i="28" s="1"/>
  <c r="E28" i="3"/>
  <c r="F28" i="28" s="1"/>
  <c r="E27" i="3"/>
  <c r="F27" i="28" s="1"/>
  <c r="E26" i="3"/>
  <c r="F26" i="28" s="1"/>
  <c r="E25" i="3"/>
  <c r="F25" i="28" s="1"/>
  <c r="E24" i="3"/>
  <c r="F24" i="28" s="1"/>
  <c r="E23" i="3"/>
  <c r="F23" i="28" s="1"/>
  <c r="E22" i="3"/>
  <c r="F22" i="28" s="1"/>
  <c r="E21" i="3"/>
  <c r="F21" i="28" s="1"/>
  <c r="E20" i="3"/>
  <c r="F20" i="28" s="1"/>
  <c r="E19" i="3"/>
  <c r="F19" i="28" s="1"/>
  <c r="E18" i="3"/>
  <c r="F18" i="28" s="1"/>
  <c r="E17" i="3"/>
  <c r="F17" i="28" s="1"/>
  <c r="E16" i="3"/>
  <c r="F16" i="28" s="1"/>
  <c r="E15" i="3"/>
  <c r="F15" i="28" s="1"/>
  <c r="E14" i="3"/>
  <c r="F14" i="28" s="1"/>
  <c r="E13" i="3"/>
  <c r="F13" i="28" s="1"/>
  <c r="E12" i="3"/>
  <c r="F12" i="28" s="1"/>
  <c r="E11" i="3"/>
  <c r="F11" i="28" s="1"/>
  <c r="E10" i="3"/>
  <c r="F10" i="28" s="1"/>
  <c r="E9" i="3"/>
  <c r="F9" i="28" s="1"/>
  <c r="E8" i="3"/>
  <c r="F8" i="28" s="1"/>
  <c r="E7" i="3"/>
  <c r="F7" i="28" s="1"/>
  <c r="E6" i="3"/>
  <c r="F6" i="28" s="1"/>
  <c r="E5" i="3"/>
  <c r="F5" i="28" s="1"/>
  <c r="E4" i="3"/>
  <c r="F4" i="28" s="1"/>
  <c r="E3" i="3"/>
  <c r="F3" i="28" s="1"/>
  <c r="E2" i="3"/>
  <c r="E31" i="2"/>
  <c r="D31" i="28" s="1"/>
  <c r="E30" i="2"/>
  <c r="D30" i="28" s="1"/>
  <c r="E29" i="2"/>
  <c r="D29" i="28" s="1"/>
  <c r="E28" i="2"/>
  <c r="D28" i="28" s="1"/>
  <c r="E27" i="2"/>
  <c r="D27" i="28" s="1"/>
  <c r="E26" i="2"/>
  <c r="D26" i="28" s="1"/>
  <c r="E25" i="2"/>
  <c r="D25" i="28" s="1"/>
  <c r="E24" i="2"/>
  <c r="D24" i="28" s="1"/>
  <c r="E23" i="2"/>
  <c r="D23" i="28" s="1"/>
  <c r="E22" i="2"/>
  <c r="D22" i="28" s="1"/>
  <c r="E21" i="2"/>
  <c r="D21" i="28" s="1"/>
  <c r="E20" i="2"/>
  <c r="D20" i="28" s="1"/>
  <c r="E19" i="2"/>
  <c r="D19" i="28" s="1"/>
  <c r="E18" i="2"/>
  <c r="D18" i="28" s="1"/>
  <c r="E17" i="2"/>
  <c r="D17" i="28" s="1"/>
  <c r="E16" i="2"/>
  <c r="D16" i="28" s="1"/>
  <c r="E15" i="2"/>
  <c r="D15" i="28" s="1"/>
  <c r="E14" i="2"/>
  <c r="D14" i="28" s="1"/>
  <c r="E13" i="2"/>
  <c r="D13" i="28" s="1"/>
  <c r="E12" i="2"/>
  <c r="D12" i="28" s="1"/>
  <c r="E11" i="2"/>
  <c r="D11" i="28" s="1"/>
  <c r="E10" i="2"/>
  <c r="D10" i="28" s="1"/>
  <c r="E9" i="2"/>
  <c r="D9" i="28" s="1"/>
  <c r="E8" i="2"/>
  <c r="D8" i="28" s="1"/>
  <c r="E7" i="2"/>
  <c r="D7" i="28" s="1"/>
  <c r="E6" i="2"/>
  <c r="D6" i="28" s="1"/>
  <c r="E5" i="2"/>
  <c r="D5" i="28" s="1"/>
  <c r="E4" i="2"/>
  <c r="D4" i="28" s="1"/>
  <c r="E3" i="2"/>
  <c r="D3" i="28" s="1"/>
  <c r="E2" i="2"/>
  <c r="E32" i="2" s="1"/>
  <c r="D32" i="28" s="1"/>
  <c r="E31" i="1"/>
  <c r="B31" i="28" s="1"/>
  <c r="E30" i="1"/>
  <c r="B30" i="28" s="1"/>
  <c r="E29" i="1"/>
  <c r="B29" i="28" s="1"/>
  <c r="E28" i="1"/>
  <c r="B28" i="28" s="1"/>
  <c r="E27" i="1"/>
  <c r="B27" i="28" s="1"/>
  <c r="E26" i="1"/>
  <c r="B26" i="28" s="1"/>
  <c r="E25" i="1"/>
  <c r="B25" i="28" s="1"/>
  <c r="E24" i="1"/>
  <c r="B24" i="28" s="1"/>
  <c r="E23" i="1"/>
  <c r="B23" i="28" s="1"/>
  <c r="E22" i="1"/>
  <c r="B22" i="28" s="1"/>
  <c r="E21" i="1"/>
  <c r="B21" i="28" s="1"/>
  <c r="E20" i="1"/>
  <c r="B20" i="28" s="1"/>
  <c r="E19" i="1"/>
  <c r="B19" i="28" s="1"/>
  <c r="E18" i="1"/>
  <c r="B18" i="28" s="1"/>
  <c r="E17" i="1"/>
  <c r="B17" i="28" s="1"/>
  <c r="E16" i="1"/>
  <c r="B16" i="28" s="1"/>
  <c r="E15" i="1"/>
  <c r="B15" i="28" s="1"/>
  <c r="E14" i="1"/>
  <c r="B14" i="28" s="1"/>
  <c r="E13" i="1"/>
  <c r="B13" i="28" s="1"/>
  <c r="E12" i="1"/>
  <c r="B12" i="28" s="1"/>
  <c r="E11" i="1"/>
  <c r="B11" i="28" s="1"/>
  <c r="E10" i="1"/>
  <c r="B10" i="28" s="1"/>
  <c r="E9" i="1"/>
  <c r="B9" i="28" s="1"/>
  <c r="E8" i="1"/>
  <c r="B8" i="28" s="1"/>
  <c r="E7" i="1"/>
  <c r="B7" i="28" s="1"/>
  <c r="E6" i="1"/>
  <c r="B6" i="28" s="1"/>
  <c r="E5" i="1"/>
  <c r="B5" i="28" s="1"/>
  <c r="E4" i="1"/>
  <c r="B4" i="28" s="1"/>
  <c r="E3" i="1"/>
  <c r="B3" i="28" s="1"/>
  <c r="E2" i="1"/>
  <c r="E32" i="1" s="1"/>
  <c r="B32" i="28" s="1"/>
  <c r="L33" i="28" l="1"/>
  <c r="P33" i="28"/>
  <c r="T33" i="28"/>
  <c r="X33" i="28"/>
  <c r="AB33" i="28"/>
  <c r="AF33" i="28"/>
  <c r="AJ33" i="28"/>
  <c r="AN33" i="28"/>
  <c r="AR33" i="28"/>
  <c r="AV33" i="28"/>
  <c r="AZ33" i="28"/>
  <c r="D33" i="28"/>
  <c r="H33" i="28"/>
  <c r="J33" i="28"/>
  <c r="Z33" i="28"/>
  <c r="AH33" i="28"/>
  <c r="AL33" i="28"/>
  <c r="AP33" i="28"/>
  <c r="AT33" i="28"/>
  <c r="AX33" i="28"/>
  <c r="BB33" i="28"/>
  <c r="N33" i="28"/>
  <c r="R33" i="28"/>
  <c r="B33" i="28"/>
  <c r="E32" i="15"/>
  <c r="AD32" i="28" s="1"/>
  <c r="AD33" i="28" s="1"/>
  <c r="V8" i="28"/>
  <c r="V33" i="28" s="1"/>
  <c r="AT8" i="28"/>
  <c r="E32" i="3"/>
  <c r="F32" i="28" s="1"/>
  <c r="F33" i="28" s="1"/>
</calcChain>
</file>

<file path=xl/sharedStrings.xml><?xml version="1.0" encoding="utf-8"?>
<sst xmlns="http://schemas.openxmlformats.org/spreadsheetml/2006/main" count="2077" uniqueCount="116">
  <si>
    <t>Класс</t>
  </si>
  <si>
    <t>Ученик</t>
  </si>
  <si>
    <t>Кол-во</t>
  </si>
  <si>
    <t>10 А</t>
  </si>
  <si>
    <t>Аброськина Риана Александровна</t>
  </si>
  <si>
    <t>4 А</t>
  </si>
  <si>
    <t>Рупасов Михаил Иванович</t>
  </si>
  <si>
    <t>4 Б</t>
  </si>
  <si>
    <t>4 В</t>
  </si>
  <si>
    <t>4 Г</t>
  </si>
  <si>
    <t>4 Д</t>
  </si>
  <si>
    <t>5 А</t>
  </si>
  <si>
    <t>5 Б</t>
  </si>
  <si>
    <t>5 В</t>
  </si>
  <si>
    <t>5 Г</t>
  </si>
  <si>
    <t>5 Д</t>
  </si>
  <si>
    <t>6 А</t>
  </si>
  <si>
    <t>6 Б</t>
  </si>
  <si>
    <t>6 В</t>
  </si>
  <si>
    <t>6 Г</t>
  </si>
  <si>
    <t>6 Д</t>
  </si>
  <si>
    <t>7 А</t>
  </si>
  <si>
    <t>7 Б</t>
  </si>
  <si>
    <t>7 В</t>
  </si>
  <si>
    <t>7 Г</t>
  </si>
  <si>
    <t>8 А</t>
  </si>
  <si>
    <t>8 Б</t>
  </si>
  <si>
    <t>8 В</t>
  </si>
  <si>
    <t>9 А</t>
  </si>
  <si>
    <t>9 Б</t>
  </si>
  <si>
    <t>9 В</t>
  </si>
  <si>
    <t>9 Г</t>
  </si>
  <si>
    <t>10 Б</t>
  </si>
  <si>
    <t>11 А</t>
  </si>
  <si>
    <t>11 Б</t>
  </si>
  <si>
    <t xml:space="preserve">Всего: </t>
  </si>
  <si>
    <t>Анисимова София Александровна</t>
  </si>
  <si>
    <t>Рабчевский Владимир Дмитриевич</t>
  </si>
  <si>
    <t>Ручьев Яков Максимович</t>
  </si>
  <si>
    <t>Артемов Тимофей Андреевич</t>
  </si>
  <si>
    <t>РЫЖКОВА ПОЛИНА ИЛЬИНИЧНА</t>
  </si>
  <si>
    <t>Рыжакова Софья Дмитриевна</t>
  </si>
  <si>
    <t>Воробьёв Артём Константинович</t>
  </si>
  <si>
    <t>Островецкий Иван Александрович</t>
  </si>
  <si>
    <t>Головченко Константин Сергеевич</t>
  </si>
  <si>
    <t>Садов Никита Александрович</t>
  </si>
  <si>
    <t>Серина Дарья Сергеевна</t>
  </si>
  <si>
    <t>Ожиганов Владислав Владимирович</t>
  </si>
  <si>
    <t>Алтапов Марк Евгеньевич</t>
  </si>
  <si>
    <t>Байдарова Камелия Умидовна</t>
  </si>
  <si>
    <t>Белоущенко Фёдор Максимович</t>
  </si>
  <si>
    <t>Воробьева Екатерина Михайловна</t>
  </si>
  <si>
    <t>Иванов Семён Иванович</t>
  </si>
  <si>
    <t>Иванова Виолетта Викторовна</t>
  </si>
  <si>
    <t>Карле Мария Евгеньевна</t>
  </si>
  <si>
    <t>Красикова Анна Дмитриевна</t>
  </si>
  <si>
    <t>Митькина Ева Сергеевна</t>
  </si>
  <si>
    <t>Молостов Роман Андреевич</t>
  </si>
  <si>
    <t>Никонова Зоя Алексеевна</t>
  </si>
  <si>
    <t>Персанов Владимир Андреевич</t>
  </si>
  <si>
    <t>Плешков Даниил Сергеевич</t>
  </si>
  <si>
    <t>Стожков Алексей Дмитриевич</t>
  </si>
  <si>
    <t>Тельминов Иван Николаевич</t>
  </si>
  <si>
    <t>Уфимцева София Павловна</t>
  </si>
  <si>
    <t>Хавлин Данил Игоревич</t>
  </si>
  <si>
    <t>Чернейкова Дарья Константиновна</t>
  </si>
  <si>
    <t>Чирков Владислав Денисович</t>
  </si>
  <si>
    <t>Симанович Виктория Александровна</t>
  </si>
  <si>
    <t>Николаев Владислав Денисович</t>
  </si>
  <si>
    <t>Смирнова Вероника Антоновна</t>
  </si>
  <si>
    <t>Филатова Анжелика Дмитриевна</t>
  </si>
  <si>
    <t>Немкова Анастасия Денисовна</t>
  </si>
  <si>
    <t>Мурындина Елена Сергеевна</t>
  </si>
  <si>
    <t>Герасимчук Лев Александрович</t>
  </si>
  <si>
    <t>Гумерова Валентина Руслановна</t>
  </si>
  <si>
    <t>Дягилев Григорий Вадимович</t>
  </si>
  <si>
    <t>Ларионова Тина Игоревна</t>
  </si>
  <si>
    <t>Лопатина Юлия Алексеевна</t>
  </si>
  <si>
    <t>Мелвина Вероника Олеговна</t>
  </si>
  <si>
    <t>Мельник Демид Владимирович</t>
  </si>
  <si>
    <t>Русяев Артем Евгеньевич</t>
  </si>
  <si>
    <t>Рыбакова София Михайловна</t>
  </si>
  <si>
    <t>Чувакова Таисия Ивановна</t>
  </si>
  <si>
    <t>Шадрин Михаил Сергеевич</t>
  </si>
  <si>
    <t>Иванова Арина Сергеевна</t>
  </si>
  <si>
    <t>Костарев Андрей Алексеевич</t>
  </si>
  <si>
    <t>Кривошапка Евгений Алексеевич</t>
  </si>
  <si>
    <t>Моськин Павел Сергеевич</t>
  </si>
  <si>
    <t>Кузнецова Анастасия Михайловна</t>
  </si>
  <si>
    <t>Англ. язык</t>
  </si>
  <si>
    <t>Астрономия</t>
  </si>
  <si>
    <t>Биология</t>
  </si>
  <si>
    <t>География</t>
  </si>
  <si>
    <t>ИИ</t>
  </si>
  <si>
    <t>Инф.без.</t>
  </si>
  <si>
    <t>Искусство</t>
  </si>
  <si>
    <t>Исп.язык</t>
  </si>
  <si>
    <t>История</t>
  </si>
  <si>
    <t>Итал.язык</t>
  </si>
  <si>
    <t>Кит.язык</t>
  </si>
  <si>
    <t>Литература</t>
  </si>
  <si>
    <t>Математика</t>
  </si>
  <si>
    <t>Нем.язык</t>
  </si>
  <si>
    <t>ОБЗР</t>
  </si>
  <si>
    <t>Обществознание</t>
  </si>
  <si>
    <t>Право</t>
  </si>
  <si>
    <t>Программирование</t>
  </si>
  <si>
    <t>Робототехника</t>
  </si>
  <si>
    <t>Русский язык</t>
  </si>
  <si>
    <t>Труд</t>
  </si>
  <si>
    <t>Физ.культура</t>
  </si>
  <si>
    <t>Физика</t>
  </si>
  <si>
    <t>Фран.язык</t>
  </si>
  <si>
    <t>Химия</t>
  </si>
  <si>
    <t>Экология</t>
  </si>
  <si>
    <t>Экономика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</si>
</sst>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6</v>
      </c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2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38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39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38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38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40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41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39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37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40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42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43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40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43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45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43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46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42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43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46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42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46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5</v>
      </c>
      <c r="B2" t="s">
        <v>48</v>
      </c>
      <c r="D2" t="s">
        <v>5</v>
      </c>
      <c r="E2">
        <f>COUNTIF(A:A, "4 А")</f>
        <v>19</v>
      </c>
    </row>
    <row r="3" spans="1:5" x14ac:dyDescent="0.25">
      <c r="A3" t="s">
        <v>5</v>
      </c>
      <c r="B3" t="s">
        <v>49</v>
      </c>
      <c r="D3" t="s">
        <v>7</v>
      </c>
      <c r="E3">
        <f>COUNTIF(A:A, "4 Б")</f>
        <v>0</v>
      </c>
    </row>
    <row r="4" spans="1:5" x14ac:dyDescent="0.25">
      <c r="A4" t="s">
        <v>5</v>
      </c>
      <c r="B4" t="s">
        <v>50</v>
      </c>
      <c r="D4" t="s">
        <v>8</v>
      </c>
      <c r="E4">
        <f>COUNTIF(A:A, "4 В")</f>
        <v>0</v>
      </c>
    </row>
    <row r="5" spans="1:5" x14ac:dyDescent="0.25">
      <c r="A5" t="s">
        <v>5</v>
      </c>
      <c r="B5" t="s">
        <v>51</v>
      </c>
      <c r="D5" t="s">
        <v>9</v>
      </c>
      <c r="E5">
        <f>COUNTIF(A:A, "4 Г")</f>
        <v>0</v>
      </c>
    </row>
    <row r="6" spans="1:5" x14ac:dyDescent="0.25">
      <c r="A6" t="s">
        <v>5</v>
      </c>
      <c r="B6" t="s">
        <v>52</v>
      </c>
      <c r="D6" t="s">
        <v>10</v>
      </c>
      <c r="E6">
        <f>COUNTIF(A:A, "4 Д")</f>
        <v>0</v>
      </c>
    </row>
    <row r="7" spans="1:5" x14ac:dyDescent="0.25">
      <c r="A7" t="s">
        <v>5</v>
      </c>
      <c r="B7" t="s">
        <v>53</v>
      </c>
      <c r="D7" t="s">
        <v>11</v>
      </c>
      <c r="E7">
        <f>COUNTIF(A:A, "5 А")</f>
        <v>0</v>
      </c>
    </row>
    <row r="8" spans="1:5" x14ac:dyDescent="0.25">
      <c r="A8" t="s">
        <v>5</v>
      </c>
      <c r="B8" t="s">
        <v>54</v>
      </c>
      <c r="D8" t="s">
        <v>12</v>
      </c>
      <c r="E8">
        <f>COUNTIF(A:A, "5 Б")</f>
        <v>0</v>
      </c>
    </row>
    <row r="9" spans="1:5" x14ac:dyDescent="0.25">
      <c r="A9" t="s">
        <v>5</v>
      </c>
      <c r="B9" t="s">
        <v>55</v>
      </c>
      <c r="D9" t="s">
        <v>13</v>
      </c>
      <c r="E9">
        <f>COUNTIF(A:A, "5 В")</f>
        <v>0</v>
      </c>
    </row>
    <row r="10" spans="1:5" x14ac:dyDescent="0.25">
      <c r="A10" t="s">
        <v>5</v>
      </c>
      <c r="B10" t="s">
        <v>56</v>
      </c>
      <c r="D10" t="s">
        <v>14</v>
      </c>
      <c r="E10">
        <f>COUNTIF(A:A, "5 Г")</f>
        <v>0</v>
      </c>
    </row>
    <row r="11" spans="1:5" x14ac:dyDescent="0.25">
      <c r="A11" t="s">
        <v>5</v>
      </c>
      <c r="B11" t="s">
        <v>57</v>
      </c>
      <c r="D11" t="s">
        <v>15</v>
      </c>
      <c r="E11">
        <f>COUNTIF(A:A, "5 Д")</f>
        <v>0</v>
      </c>
    </row>
    <row r="12" spans="1:5" x14ac:dyDescent="0.25">
      <c r="A12" t="s">
        <v>5</v>
      </c>
      <c r="B12" t="s">
        <v>58</v>
      </c>
      <c r="D12" t="s">
        <v>16</v>
      </c>
      <c r="E12">
        <f>COUNTIF(A:A, "6 А")</f>
        <v>0</v>
      </c>
    </row>
    <row r="13" spans="1:5" x14ac:dyDescent="0.25">
      <c r="A13" t="s">
        <v>5</v>
      </c>
      <c r="B13" t="s">
        <v>59</v>
      </c>
      <c r="D13" t="s">
        <v>17</v>
      </c>
      <c r="E13">
        <f>COUNTIF(A:A, "6 Б")</f>
        <v>0</v>
      </c>
    </row>
    <row r="14" spans="1:5" x14ac:dyDescent="0.25">
      <c r="A14" t="s">
        <v>5</v>
      </c>
      <c r="B14" t="s">
        <v>60</v>
      </c>
      <c r="D14" t="s">
        <v>18</v>
      </c>
      <c r="E14">
        <f>COUNTIF(A:A, "6 В")</f>
        <v>0</v>
      </c>
    </row>
    <row r="15" spans="1:5" x14ac:dyDescent="0.25">
      <c r="A15" t="s">
        <v>5</v>
      </c>
      <c r="B15" t="s">
        <v>61</v>
      </c>
      <c r="D15" t="s">
        <v>19</v>
      </c>
      <c r="E15">
        <f>COUNTIF(A:A, "6 Г")</f>
        <v>0</v>
      </c>
    </row>
    <row r="16" spans="1:5" x14ac:dyDescent="0.25">
      <c r="A16" t="s">
        <v>5</v>
      </c>
      <c r="B16" t="s">
        <v>62</v>
      </c>
      <c r="D16" t="s">
        <v>20</v>
      </c>
      <c r="E16">
        <f>COUNTIF(A:A, "6 Д")</f>
        <v>0</v>
      </c>
    </row>
    <row r="17" spans="1:5" x14ac:dyDescent="0.25">
      <c r="A17" t="s">
        <v>5</v>
      </c>
      <c r="B17" t="s">
        <v>63</v>
      </c>
      <c r="D17" t="s">
        <v>21</v>
      </c>
      <c r="E17">
        <f>COUNTIF(A:A, "7 А")</f>
        <v>0</v>
      </c>
    </row>
    <row r="18" spans="1:5" x14ac:dyDescent="0.25">
      <c r="A18" t="s">
        <v>5</v>
      </c>
      <c r="B18" t="s">
        <v>64</v>
      </c>
      <c r="D18" t="s">
        <v>22</v>
      </c>
      <c r="E18">
        <f>COUNTIF(A:A, "7 Б")</f>
        <v>0</v>
      </c>
    </row>
    <row r="19" spans="1:5" x14ac:dyDescent="0.25">
      <c r="A19" t="s">
        <v>5</v>
      </c>
      <c r="B19" t="s">
        <v>65</v>
      </c>
      <c r="D19" t="s">
        <v>23</v>
      </c>
      <c r="E19">
        <f>COUNTIF(A:A, "7 В")</f>
        <v>0</v>
      </c>
    </row>
    <row r="20" spans="1:5" x14ac:dyDescent="0.25">
      <c r="A20" t="s">
        <v>5</v>
      </c>
      <c r="B20" t="s">
        <v>66</v>
      </c>
      <c r="D20" t="s">
        <v>24</v>
      </c>
      <c r="E20">
        <f>COUNTIF(A:A, "7 Г")</f>
        <v>0</v>
      </c>
    </row>
    <row r="21" spans="1:5" x14ac:dyDescent="0.25">
      <c r="A21" t="s">
        <v>3</v>
      </c>
      <c r="B21" t="s">
        <v>39</v>
      </c>
      <c r="D21" t="s">
        <v>25</v>
      </c>
      <c r="E21">
        <f>COUNTIF(A:A, "8 А")</f>
        <v>0</v>
      </c>
    </row>
    <row r="22" spans="1:5" x14ac:dyDescent="0.25">
      <c r="A22" t="s">
        <v>3</v>
      </c>
      <c r="B22" t="s">
        <v>47</v>
      </c>
      <c r="D22" t="s">
        <v>26</v>
      </c>
      <c r="E22">
        <f>COUNTIF(A:A, "8 Б")</f>
        <v>0</v>
      </c>
    </row>
    <row r="23" spans="1:5" x14ac:dyDescent="0.25">
      <c r="A23" t="s">
        <v>3</v>
      </c>
      <c r="B23" t="s">
        <v>46</v>
      </c>
      <c r="D23" t="s">
        <v>27</v>
      </c>
      <c r="E23">
        <f>COUNTIF(A:A, "8 В")</f>
        <v>0</v>
      </c>
    </row>
    <row r="24" spans="1:5" x14ac:dyDescent="0.25">
      <c r="D24" t="s">
        <v>28</v>
      </c>
      <c r="E24">
        <f>COUNTIF(A:A, "9 А")</f>
        <v>0</v>
      </c>
    </row>
    <row r="25" spans="1:5" x14ac:dyDescent="0.25">
      <c r="D25" t="s">
        <v>29</v>
      </c>
      <c r="E25">
        <f>COUNTIF(A:A, "9 Б")</f>
        <v>0</v>
      </c>
    </row>
    <row r="26" spans="1:5" x14ac:dyDescent="0.25">
      <c r="D26" t="s">
        <v>30</v>
      </c>
      <c r="E26">
        <f>COUNTIF(A:A, "9 В")</f>
        <v>0</v>
      </c>
    </row>
    <row r="27" spans="1:5" x14ac:dyDescent="0.25">
      <c r="D27" t="s">
        <v>31</v>
      </c>
      <c r="E27">
        <f>COUNTIF(A:A, "9 Г")</f>
        <v>0</v>
      </c>
    </row>
    <row r="28" spans="1:5" x14ac:dyDescent="0.25">
      <c r="D28" t="s">
        <v>3</v>
      </c>
      <c r="E28">
        <f>COUNTIF(A:A, "10 А")</f>
        <v>3</v>
      </c>
    </row>
    <row r="29" spans="1:5" x14ac:dyDescent="0.25">
      <c r="D29" t="s">
        <v>32</v>
      </c>
      <c r="E29">
        <f>COUNTIF(A:A, "10 Б")</f>
        <v>0</v>
      </c>
    </row>
    <row r="30" spans="1:5" x14ac:dyDescent="0.25">
      <c r="D30" t="s">
        <v>33</v>
      </c>
      <c r="E30">
        <f>COUNTIF(A:A, "11 А")</f>
        <v>0</v>
      </c>
    </row>
    <row r="31" spans="1:5" x14ac:dyDescent="0.25">
      <c r="D31" t="s">
        <v>34</v>
      </c>
      <c r="E31">
        <f>COUNTIF(A:A, "11 Б")</f>
        <v>0</v>
      </c>
    </row>
    <row r="32" spans="1:5" x14ac:dyDescent="0.25">
      <c r="D32" s="1" t="s">
        <v>35</v>
      </c>
      <c r="E32">
        <f>SUM(E2:E31)</f>
        <v>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39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47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67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68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67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68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69</v>
      </c>
      <c r="D4" t="s">
        <v>8</v>
      </c>
      <c r="E4">
        <f>COUNTIF(A:A, "4 В")</f>
        <v>0</v>
      </c>
    </row>
    <row r="5" spans="1:5" x14ac:dyDescent="0.25">
      <c r="A5" t="s">
        <v>3</v>
      </c>
      <c r="B5" t="s">
        <v>70</v>
      </c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4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68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70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71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69</v>
      </c>
      <c r="D4" t="s">
        <v>8</v>
      </c>
      <c r="E4">
        <f>COUNTIF(A:A, "4 В")</f>
        <v>0</v>
      </c>
    </row>
    <row r="5" spans="1:5" x14ac:dyDescent="0.25">
      <c r="A5" t="s">
        <v>3</v>
      </c>
      <c r="B5" t="s">
        <v>70</v>
      </c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4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39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69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5</v>
      </c>
      <c r="B2" t="s">
        <v>73</v>
      </c>
      <c r="D2" t="s">
        <v>5</v>
      </c>
      <c r="E2">
        <f>COUNTIF(A:A, "4 А")</f>
        <v>11</v>
      </c>
    </row>
    <row r="3" spans="1:5" x14ac:dyDescent="0.25">
      <c r="A3" t="s">
        <v>5</v>
      </c>
      <c r="B3" t="s">
        <v>74</v>
      </c>
      <c r="D3" t="s">
        <v>7</v>
      </c>
      <c r="E3">
        <f>COUNTIF(A:A, "4 Б")</f>
        <v>0</v>
      </c>
    </row>
    <row r="4" spans="1:5" x14ac:dyDescent="0.25">
      <c r="A4" t="s">
        <v>5</v>
      </c>
      <c r="B4" t="s">
        <v>75</v>
      </c>
      <c r="D4" t="s">
        <v>8</v>
      </c>
      <c r="E4">
        <f>COUNTIF(A:A, "4 В")</f>
        <v>0</v>
      </c>
    </row>
    <row r="5" spans="1:5" x14ac:dyDescent="0.25">
      <c r="A5" t="s">
        <v>5</v>
      </c>
      <c r="B5" t="s">
        <v>76</v>
      </c>
      <c r="D5" t="s">
        <v>9</v>
      </c>
      <c r="E5">
        <f>COUNTIF(A:A, "4 Г")</f>
        <v>0</v>
      </c>
    </row>
    <row r="6" spans="1:5" x14ac:dyDescent="0.25">
      <c r="A6" t="s">
        <v>5</v>
      </c>
      <c r="B6" t="s">
        <v>77</v>
      </c>
      <c r="D6" t="s">
        <v>10</v>
      </c>
      <c r="E6">
        <f>COUNTIF(A:A, "4 Д")</f>
        <v>0</v>
      </c>
    </row>
    <row r="7" spans="1:5" x14ac:dyDescent="0.25">
      <c r="A7" t="s">
        <v>5</v>
      </c>
      <c r="B7" t="s">
        <v>78</v>
      </c>
      <c r="D7" t="s">
        <v>11</v>
      </c>
      <c r="E7">
        <f>COUNTIF(A:A, "5 А")</f>
        <v>0</v>
      </c>
    </row>
    <row r="8" spans="1:5" x14ac:dyDescent="0.25">
      <c r="A8" t="s">
        <v>5</v>
      </c>
      <c r="B8" t="s">
        <v>79</v>
      </c>
      <c r="D8" t="s">
        <v>12</v>
      </c>
      <c r="E8">
        <f>COUNTIF(A:A, "5 Б")</f>
        <v>0</v>
      </c>
    </row>
    <row r="9" spans="1:5" x14ac:dyDescent="0.25">
      <c r="A9" t="s">
        <v>5</v>
      </c>
      <c r="B9" t="s">
        <v>80</v>
      </c>
      <c r="D9" t="s">
        <v>13</v>
      </c>
      <c r="E9">
        <f>COUNTIF(A:A, "5 В")</f>
        <v>0</v>
      </c>
    </row>
    <row r="10" spans="1:5" x14ac:dyDescent="0.25">
      <c r="A10" t="s">
        <v>5</v>
      </c>
      <c r="B10" t="s">
        <v>81</v>
      </c>
      <c r="D10" t="s">
        <v>14</v>
      </c>
      <c r="E10">
        <f>COUNTIF(A:A, "5 Г")</f>
        <v>0</v>
      </c>
    </row>
    <row r="11" spans="1:5" x14ac:dyDescent="0.25">
      <c r="A11" t="s">
        <v>5</v>
      </c>
      <c r="B11" t="s">
        <v>82</v>
      </c>
      <c r="D11" t="s">
        <v>15</v>
      </c>
      <c r="E11">
        <f>COUNTIF(A:A, "5 Д")</f>
        <v>0</v>
      </c>
    </row>
    <row r="12" spans="1:5" x14ac:dyDescent="0.25">
      <c r="A12" t="s">
        <v>5</v>
      </c>
      <c r="B12" t="s">
        <v>83</v>
      </c>
      <c r="D12" t="s">
        <v>16</v>
      </c>
      <c r="E12">
        <f>COUNTIF(A:A, "6 А")</f>
        <v>0</v>
      </c>
    </row>
    <row r="13" spans="1:5" x14ac:dyDescent="0.25">
      <c r="A13" t="s">
        <v>3</v>
      </c>
      <c r="B13" t="s">
        <v>42</v>
      </c>
      <c r="D13" t="s">
        <v>17</v>
      </c>
      <c r="E13">
        <f>COUNTIF(A:A, "6 Б")</f>
        <v>0</v>
      </c>
    </row>
    <row r="14" spans="1:5" x14ac:dyDescent="0.25">
      <c r="A14" t="s">
        <v>3</v>
      </c>
      <c r="B14" t="s">
        <v>72</v>
      </c>
      <c r="D14" t="s">
        <v>18</v>
      </c>
      <c r="E14">
        <f>COUNTIF(A:A, "6 В")</f>
        <v>0</v>
      </c>
    </row>
    <row r="15" spans="1:5" x14ac:dyDescent="0.25">
      <c r="A15" t="s">
        <v>3</v>
      </c>
      <c r="B15" t="s">
        <v>69</v>
      </c>
      <c r="D15" t="s">
        <v>19</v>
      </c>
      <c r="E15">
        <f>COUNTIF(A:A, "6 Г")</f>
        <v>0</v>
      </c>
    </row>
    <row r="16" spans="1:5" x14ac:dyDescent="0.25">
      <c r="A16" t="s">
        <v>3</v>
      </c>
      <c r="B16" t="s">
        <v>70</v>
      </c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4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44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69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2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A4" t="s">
        <v>3</v>
      </c>
      <c r="B4" t="s">
        <v>69</v>
      </c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3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84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2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85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72</v>
      </c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2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86</v>
      </c>
      <c r="D2" t="s">
        <v>5</v>
      </c>
      <c r="E2">
        <f>COUNTIF(A:A, "4 А")</f>
        <v>0</v>
      </c>
    </row>
    <row r="3" spans="1:5" x14ac:dyDescent="0.25">
      <c r="A3" t="s">
        <v>3</v>
      </c>
      <c r="B3" t="s">
        <v>87</v>
      </c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2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2" max="2" width="50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25">
      <c r="A2" t="s">
        <v>3</v>
      </c>
      <c r="B2" t="s">
        <v>88</v>
      </c>
      <c r="D2" t="s">
        <v>5</v>
      </c>
      <c r="E2">
        <f>COUNTIF(A:A, "4 А")</f>
        <v>0</v>
      </c>
    </row>
    <row r="3" spans="1:5" x14ac:dyDescent="0.25">
      <c r="D3" t="s">
        <v>7</v>
      </c>
      <c r="E3">
        <f>COUNTIF(A:A, "4 Б")</f>
        <v>0</v>
      </c>
    </row>
    <row r="4" spans="1:5" x14ac:dyDescent="0.25">
      <c r="D4" t="s">
        <v>8</v>
      </c>
      <c r="E4">
        <f>COUNTIF(A:A, "4 В")</f>
        <v>0</v>
      </c>
    </row>
    <row r="5" spans="1:5" x14ac:dyDescent="0.25">
      <c r="D5" t="s">
        <v>9</v>
      </c>
      <c r="E5">
        <f>COUNTIF(A:A, "4 Г")</f>
        <v>0</v>
      </c>
    </row>
    <row r="6" spans="1:5" x14ac:dyDescent="0.25">
      <c r="D6" t="s">
        <v>10</v>
      </c>
      <c r="E6">
        <f>COUNTIF(A:A, "4 Д")</f>
        <v>0</v>
      </c>
    </row>
    <row r="7" spans="1:5" x14ac:dyDescent="0.25">
      <c r="D7" t="s">
        <v>11</v>
      </c>
      <c r="E7">
        <f>COUNTIF(A:A, "5 А")</f>
        <v>0</v>
      </c>
    </row>
    <row r="8" spans="1:5" x14ac:dyDescent="0.25">
      <c r="D8" t="s">
        <v>12</v>
      </c>
      <c r="E8">
        <f>COUNTIF(A:A, "5 Б")</f>
        <v>0</v>
      </c>
    </row>
    <row r="9" spans="1:5" x14ac:dyDescent="0.25">
      <c r="D9" t="s">
        <v>13</v>
      </c>
      <c r="E9">
        <f>COUNTIF(A:A, "5 В")</f>
        <v>0</v>
      </c>
    </row>
    <row r="10" spans="1:5" x14ac:dyDescent="0.25">
      <c r="D10" t="s">
        <v>14</v>
      </c>
      <c r="E10">
        <f>COUNTIF(A:A, "5 Г")</f>
        <v>0</v>
      </c>
    </row>
    <row r="11" spans="1:5" x14ac:dyDescent="0.25">
      <c r="D11" t="s">
        <v>15</v>
      </c>
      <c r="E11">
        <f>COUNTIF(A:A, "5 Д")</f>
        <v>0</v>
      </c>
    </row>
    <row r="12" spans="1:5" x14ac:dyDescent="0.25">
      <c r="D12" t="s">
        <v>16</v>
      </c>
      <c r="E12">
        <f>COUNTIF(A:A, "6 А")</f>
        <v>0</v>
      </c>
    </row>
    <row r="13" spans="1:5" x14ac:dyDescent="0.25">
      <c r="D13" t="s">
        <v>17</v>
      </c>
      <c r="E13">
        <f>COUNTIF(A:A, "6 Б")</f>
        <v>0</v>
      </c>
    </row>
    <row r="14" spans="1:5" x14ac:dyDescent="0.25">
      <c r="D14" t="s">
        <v>18</v>
      </c>
      <c r="E14">
        <f>COUNTIF(A:A, "6 В")</f>
        <v>0</v>
      </c>
    </row>
    <row r="15" spans="1:5" x14ac:dyDescent="0.25">
      <c r="D15" t="s">
        <v>19</v>
      </c>
      <c r="E15">
        <f>COUNTIF(A:A, "6 Г")</f>
        <v>0</v>
      </c>
    </row>
    <row r="16" spans="1:5" x14ac:dyDescent="0.25">
      <c r="D16" t="s">
        <v>20</v>
      </c>
      <c r="E16">
        <f>COUNTIF(A:A, "6 Д")</f>
        <v>0</v>
      </c>
    </row>
    <row r="17" spans="4:5" x14ac:dyDescent="0.25">
      <c r="D17" t="s">
        <v>21</v>
      </c>
      <c r="E17">
        <f>COUNTIF(A:A, "7 А")</f>
        <v>0</v>
      </c>
    </row>
    <row r="18" spans="4:5" x14ac:dyDescent="0.25">
      <c r="D18" t="s">
        <v>22</v>
      </c>
      <c r="E18">
        <f>COUNTIF(A:A, "7 Б")</f>
        <v>0</v>
      </c>
    </row>
    <row r="19" spans="4:5" x14ac:dyDescent="0.25">
      <c r="D19" t="s">
        <v>23</v>
      </c>
      <c r="E19">
        <f>COUNTIF(A:A, "7 В")</f>
        <v>0</v>
      </c>
    </row>
    <row r="20" spans="4:5" x14ac:dyDescent="0.25">
      <c r="D20" t="s">
        <v>24</v>
      </c>
      <c r="E20">
        <f>COUNTIF(A:A, "7 Г")</f>
        <v>0</v>
      </c>
    </row>
    <row r="21" spans="4:5" x14ac:dyDescent="0.25">
      <c r="D21" t="s">
        <v>25</v>
      </c>
      <c r="E21">
        <f>COUNTIF(A:A, "8 А")</f>
        <v>0</v>
      </c>
    </row>
    <row r="22" spans="4:5" x14ac:dyDescent="0.25">
      <c r="D22" t="s">
        <v>26</v>
      </c>
      <c r="E22">
        <f>COUNTIF(A:A, "8 Б")</f>
        <v>0</v>
      </c>
    </row>
    <row r="23" spans="4:5" x14ac:dyDescent="0.25">
      <c r="D23" t="s">
        <v>27</v>
      </c>
      <c r="E23">
        <f>COUNTIF(A:A, "8 В")</f>
        <v>0</v>
      </c>
    </row>
    <row r="24" spans="4:5" x14ac:dyDescent="0.25">
      <c r="D24" t="s">
        <v>28</v>
      </c>
      <c r="E24">
        <f>COUNTIF(A:A, "9 А")</f>
        <v>0</v>
      </c>
    </row>
    <row r="25" spans="4:5" x14ac:dyDescent="0.25">
      <c r="D25" t="s">
        <v>29</v>
      </c>
      <c r="E25">
        <f>COUNTIF(A:A, "9 Б")</f>
        <v>0</v>
      </c>
    </row>
    <row r="26" spans="4:5" x14ac:dyDescent="0.25">
      <c r="D26" t="s">
        <v>30</v>
      </c>
      <c r="E26">
        <f>COUNTIF(A:A, "9 В")</f>
        <v>0</v>
      </c>
    </row>
    <row r="27" spans="4:5" x14ac:dyDescent="0.25">
      <c r="D27" t="s">
        <v>31</v>
      </c>
      <c r="E27">
        <f>COUNTIF(A:A, "9 Г")</f>
        <v>0</v>
      </c>
    </row>
    <row r="28" spans="4:5" x14ac:dyDescent="0.25">
      <c r="D28" t="s">
        <v>3</v>
      </c>
      <c r="E28">
        <f>COUNTIF(A:A, "10 А")</f>
        <v>1</v>
      </c>
    </row>
    <row r="29" spans="4:5" x14ac:dyDescent="0.25">
      <c r="D29" t="s">
        <v>32</v>
      </c>
      <c r="E29">
        <f>COUNTIF(A:A, "10 Б")</f>
        <v>0</v>
      </c>
    </row>
    <row r="30" spans="4:5" x14ac:dyDescent="0.25">
      <c r="D30" t="s">
        <v>33</v>
      </c>
      <c r="E30">
        <f>COUNTIF(A:A, "11 А")</f>
        <v>0</v>
      </c>
    </row>
    <row r="31" spans="4:5" x14ac:dyDescent="0.25">
      <c r="D31" t="s">
        <v>34</v>
      </c>
      <c r="E31">
        <f>COUNTIF(A:A, "11 Б")</f>
        <v>0</v>
      </c>
    </row>
    <row r="32" spans="4:5" x14ac:dyDescent="0.25">
      <c r="D32" s="1" t="s">
        <v>35</v>
      </c>
      <c r="E32">
        <f>SUM(E2:E31)</f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3"/>
  <sheetViews>
    <sheetView tabSelected="1" workbookViewId="0">
      <selection sqref="A1:B1"/>
    </sheetView>
  </sheetViews>
  <sheetFormatPr defaultRowHeight="15" x14ac:dyDescent="0.25"/>
  <sheetData>
    <row r="1" spans="1:54" x14ac:dyDescent="0.25">
      <c r="A1" s="8" t="s">
        <v>89</v>
      </c>
      <c r="B1" s="9"/>
      <c r="C1" s="10" t="s">
        <v>90</v>
      </c>
      <c r="D1" s="11"/>
      <c r="E1" s="8" t="s">
        <v>91</v>
      </c>
      <c r="F1" s="9"/>
      <c r="G1" s="10" t="s">
        <v>92</v>
      </c>
      <c r="H1" s="11"/>
      <c r="I1" s="8" t="s">
        <v>93</v>
      </c>
      <c r="J1" s="9"/>
      <c r="K1" s="10" t="s">
        <v>94</v>
      </c>
      <c r="L1" s="11"/>
      <c r="M1" s="8" t="s">
        <v>95</v>
      </c>
      <c r="N1" s="9"/>
      <c r="O1" s="10" t="s">
        <v>96</v>
      </c>
      <c r="P1" s="11"/>
      <c r="Q1" s="8" t="s">
        <v>97</v>
      </c>
      <c r="R1" s="9"/>
      <c r="S1" s="10" t="s">
        <v>98</v>
      </c>
      <c r="T1" s="11"/>
      <c r="U1" s="8" t="s">
        <v>99</v>
      </c>
      <c r="V1" s="9"/>
      <c r="W1" s="10" t="s">
        <v>100</v>
      </c>
      <c r="X1" s="11"/>
      <c r="Y1" s="8" t="s">
        <v>101</v>
      </c>
      <c r="Z1" s="9"/>
      <c r="AA1" s="10" t="s">
        <v>102</v>
      </c>
      <c r="AB1" s="11"/>
      <c r="AC1" s="8" t="s">
        <v>103</v>
      </c>
      <c r="AD1" s="9"/>
      <c r="AE1" s="10" t="s">
        <v>104</v>
      </c>
      <c r="AF1" s="11"/>
      <c r="AG1" s="8" t="s">
        <v>105</v>
      </c>
      <c r="AH1" s="9"/>
      <c r="AI1" s="10" t="s">
        <v>106</v>
      </c>
      <c r="AJ1" s="11"/>
      <c r="AK1" s="8" t="s">
        <v>107</v>
      </c>
      <c r="AL1" s="9"/>
      <c r="AM1" s="10" t="s">
        <v>108</v>
      </c>
      <c r="AN1" s="11"/>
      <c r="AO1" s="8" t="s">
        <v>109</v>
      </c>
      <c r="AP1" s="9"/>
      <c r="AQ1" s="10" t="s">
        <v>110</v>
      </c>
      <c r="AR1" s="11"/>
      <c r="AS1" s="8" t="s">
        <v>111</v>
      </c>
      <c r="AT1" s="9"/>
      <c r="AU1" s="10" t="s">
        <v>112</v>
      </c>
      <c r="AV1" s="11"/>
      <c r="AW1" s="8" t="s">
        <v>113</v>
      </c>
      <c r="AX1" s="9"/>
      <c r="AY1" s="10" t="s">
        <v>114</v>
      </c>
      <c r="AZ1" s="11"/>
      <c r="BA1" s="8" t="s">
        <v>115</v>
      </c>
      <c r="BB1" s="9"/>
    </row>
    <row r="2" spans="1:54" x14ac:dyDescent="0.25">
      <c r="A2" s="2" t="s">
        <v>0</v>
      </c>
      <c r="B2" s="2" t="s">
        <v>2</v>
      </c>
      <c r="C2" s="4" t="s">
        <v>0</v>
      </c>
      <c r="D2" s="4" t="s">
        <v>2</v>
      </c>
      <c r="E2" s="2" t="s">
        <v>0</v>
      </c>
      <c r="F2" s="2" t="s">
        <v>2</v>
      </c>
      <c r="G2" s="4" t="s">
        <v>0</v>
      </c>
      <c r="H2" s="4" t="s">
        <v>2</v>
      </c>
      <c r="I2" s="2" t="s">
        <v>0</v>
      </c>
      <c r="J2" s="2" t="s">
        <v>2</v>
      </c>
      <c r="K2" s="4" t="s">
        <v>0</v>
      </c>
      <c r="L2" s="4" t="s">
        <v>2</v>
      </c>
      <c r="M2" s="2" t="s">
        <v>0</v>
      </c>
      <c r="N2" s="2" t="s">
        <v>2</v>
      </c>
      <c r="O2" s="4" t="s">
        <v>0</v>
      </c>
      <c r="P2" s="4" t="s">
        <v>2</v>
      </c>
      <c r="Q2" s="2" t="s">
        <v>0</v>
      </c>
      <c r="R2" s="2" t="s">
        <v>2</v>
      </c>
      <c r="S2" s="4" t="s">
        <v>0</v>
      </c>
      <c r="T2" s="4" t="s">
        <v>2</v>
      </c>
      <c r="U2" s="2" t="s">
        <v>0</v>
      </c>
      <c r="V2" s="2" t="s">
        <v>2</v>
      </c>
      <c r="W2" s="4" t="s">
        <v>0</v>
      </c>
      <c r="X2" s="4" t="s">
        <v>2</v>
      </c>
      <c r="Y2" s="2" t="s">
        <v>0</v>
      </c>
      <c r="Z2" s="2" t="s">
        <v>2</v>
      </c>
      <c r="AA2" s="4" t="s">
        <v>0</v>
      </c>
      <c r="AB2" s="4" t="s">
        <v>2</v>
      </c>
      <c r="AC2" s="2" t="s">
        <v>0</v>
      </c>
      <c r="AD2" s="2" t="s">
        <v>2</v>
      </c>
      <c r="AE2" s="4" t="s">
        <v>0</v>
      </c>
      <c r="AF2" s="4" t="s">
        <v>2</v>
      </c>
      <c r="AG2" s="2" t="s">
        <v>0</v>
      </c>
      <c r="AH2" s="2" t="s">
        <v>2</v>
      </c>
      <c r="AI2" s="4" t="s">
        <v>0</v>
      </c>
      <c r="AJ2" s="4" t="s">
        <v>2</v>
      </c>
      <c r="AK2" s="2" t="s">
        <v>0</v>
      </c>
      <c r="AL2" s="2" t="s">
        <v>2</v>
      </c>
      <c r="AM2" s="4" t="s">
        <v>0</v>
      </c>
      <c r="AN2" s="4" t="s">
        <v>2</v>
      </c>
      <c r="AO2" s="2" t="s">
        <v>0</v>
      </c>
      <c r="AP2" s="2" t="s">
        <v>2</v>
      </c>
      <c r="AQ2" s="4" t="s">
        <v>0</v>
      </c>
      <c r="AR2" s="4" t="s">
        <v>2</v>
      </c>
      <c r="AS2" s="2" t="s">
        <v>0</v>
      </c>
      <c r="AT2" s="2" t="s">
        <v>2</v>
      </c>
      <c r="AU2" s="4" t="s">
        <v>0</v>
      </c>
      <c r="AV2" s="4" t="s">
        <v>2</v>
      </c>
      <c r="AW2" s="2" t="s">
        <v>0</v>
      </c>
      <c r="AX2" s="2" t="s">
        <v>2</v>
      </c>
      <c r="AY2" s="4" t="s">
        <v>0</v>
      </c>
      <c r="AZ2" s="4" t="s">
        <v>2</v>
      </c>
      <c r="BA2" s="2" t="s">
        <v>0</v>
      </c>
      <c r="BB2" s="2" t="s">
        <v>2</v>
      </c>
    </row>
    <row r="3" spans="1:54" x14ac:dyDescent="0.25">
      <c r="A3" s="6" t="s">
        <v>5</v>
      </c>
      <c r="B3" s="3">
        <f>'Англ. язык'!E3</f>
        <v>0</v>
      </c>
      <c r="C3" s="7" t="s">
        <v>5</v>
      </c>
      <c r="D3" s="5">
        <f>Астрономия!E3</f>
        <v>0</v>
      </c>
      <c r="E3" s="6" t="s">
        <v>5</v>
      </c>
      <c r="F3" s="3">
        <f>Биология!E3</f>
        <v>0</v>
      </c>
      <c r="G3" s="7" t="s">
        <v>5</v>
      </c>
      <c r="H3" s="5">
        <f>География!E3</f>
        <v>0</v>
      </c>
      <c r="I3" s="6" t="s">
        <v>5</v>
      </c>
      <c r="J3" s="3">
        <f>ИИ!E3</f>
        <v>0</v>
      </c>
      <c r="K3" s="7" t="s">
        <v>5</v>
      </c>
      <c r="L3" s="5">
        <f>Инф.без.!E3</f>
        <v>0</v>
      </c>
      <c r="M3" s="6" t="s">
        <v>5</v>
      </c>
      <c r="N3" s="3">
        <f>Искусство!E3</f>
        <v>0</v>
      </c>
      <c r="O3" s="7" t="s">
        <v>5</v>
      </c>
      <c r="P3" s="5">
        <f>Исп.язык!E3</f>
        <v>0</v>
      </c>
      <c r="Q3" s="6" t="s">
        <v>5</v>
      </c>
      <c r="R3" s="3">
        <f>История!E3</f>
        <v>0</v>
      </c>
      <c r="S3" s="7" t="s">
        <v>5</v>
      </c>
      <c r="T3" s="5">
        <f>Итал.язык!E3</f>
        <v>0</v>
      </c>
      <c r="U3" s="6" t="s">
        <v>5</v>
      </c>
      <c r="V3" s="3">
        <f>Кит.язык!E3</f>
        <v>0</v>
      </c>
      <c r="W3" s="7" t="s">
        <v>5</v>
      </c>
      <c r="X3" s="5">
        <f>Литература!E3</f>
        <v>0</v>
      </c>
      <c r="Y3" s="6" t="s">
        <v>5</v>
      </c>
      <c r="Z3" s="3">
        <f>Математика!E3</f>
        <v>0</v>
      </c>
      <c r="AA3" s="7" t="s">
        <v>5</v>
      </c>
      <c r="AB3" s="5">
        <f>Нем.язык!E3</f>
        <v>0</v>
      </c>
      <c r="AC3" s="6" t="s">
        <v>5</v>
      </c>
      <c r="AD3" s="3">
        <f>ОБЗР!E3</f>
        <v>0</v>
      </c>
      <c r="AE3" s="7" t="s">
        <v>5</v>
      </c>
      <c r="AF3" s="5">
        <f>Обществознание!E3</f>
        <v>0</v>
      </c>
      <c r="AG3" s="6" t="s">
        <v>5</v>
      </c>
      <c r="AH3" s="3">
        <f>Право!E3</f>
        <v>0</v>
      </c>
      <c r="AI3" s="7" t="s">
        <v>5</v>
      </c>
      <c r="AJ3" s="5">
        <f>Программирование!E3</f>
        <v>0</v>
      </c>
      <c r="AK3" s="6" t="s">
        <v>5</v>
      </c>
      <c r="AL3" s="3">
        <f>Робототехника!E3</f>
        <v>0</v>
      </c>
      <c r="AM3" s="7" t="s">
        <v>5</v>
      </c>
      <c r="AN3" s="5">
        <f>'Русский язык'!E3</f>
        <v>0</v>
      </c>
      <c r="AO3" s="6" t="s">
        <v>5</v>
      </c>
      <c r="AP3" s="3">
        <f>Труд!E3</f>
        <v>0</v>
      </c>
      <c r="AQ3" s="7" t="s">
        <v>5</v>
      </c>
      <c r="AR3" s="5">
        <f>Физ.культура!E3</f>
        <v>0</v>
      </c>
      <c r="AS3" s="6" t="s">
        <v>5</v>
      </c>
      <c r="AT3" s="3">
        <f>Физика!E3</f>
        <v>0</v>
      </c>
      <c r="AU3" s="7" t="s">
        <v>5</v>
      </c>
      <c r="AV3" s="5">
        <f>Фран.язык!E3</f>
        <v>0</v>
      </c>
      <c r="AW3" s="6" t="s">
        <v>5</v>
      </c>
      <c r="AX3" s="3">
        <f>Химия!E3</f>
        <v>0</v>
      </c>
      <c r="AY3" s="7" t="s">
        <v>5</v>
      </c>
      <c r="AZ3" s="5">
        <f>Экология!E3</f>
        <v>0</v>
      </c>
      <c r="BA3" s="6" t="s">
        <v>5</v>
      </c>
      <c r="BB3" s="3">
        <f>Экономика!E3</f>
        <v>0</v>
      </c>
    </row>
    <row r="4" spans="1:54" x14ac:dyDescent="0.25">
      <c r="A4" s="6" t="s">
        <v>7</v>
      </c>
      <c r="B4" s="3">
        <f>'Англ. язык'!E4</f>
        <v>0</v>
      </c>
      <c r="C4" s="7" t="s">
        <v>7</v>
      </c>
      <c r="D4" s="5">
        <f>Астрономия!E4</f>
        <v>0</v>
      </c>
      <c r="E4" s="6" t="s">
        <v>7</v>
      </c>
      <c r="F4" s="3">
        <f>Биология!E4</f>
        <v>0</v>
      </c>
      <c r="G4" s="7" t="s">
        <v>7</v>
      </c>
      <c r="H4" s="5">
        <f>География!E4</f>
        <v>0</v>
      </c>
      <c r="I4" s="6" t="s">
        <v>7</v>
      </c>
      <c r="J4" s="3">
        <f>ИИ!E4</f>
        <v>0</v>
      </c>
      <c r="K4" s="7" t="s">
        <v>7</v>
      </c>
      <c r="L4" s="5">
        <f>Инф.без.!E4</f>
        <v>0</v>
      </c>
      <c r="M4" s="6" t="s">
        <v>7</v>
      </c>
      <c r="N4" s="3">
        <f>Искусство!E4</f>
        <v>0</v>
      </c>
      <c r="O4" s="7" t="s">
        <v>7</v>
      </c>
      <c r="P4" s="5">
        <f>Исп.язык!E4</f>
        <v>0</v>
      </c>
      <c r="Q4" s="6" t="s">
        <v>7</v>
      </c>
      <c r="R4" s="3">
        <f>История!E4</f>
        <v>0</v>
      </c>
      <c r="S4" s="7" t="s">
        <v>7</v>
      </c>
      <c r="T4" s="5">
        <f>Итал.язык!E4</f>
        <v>0</v>
      </c>
      <c r="U4" s="6" t="s">
        <v>7</v>
      </c>
      <c r="V4" s="3">
        <f>Кит.язык!E4</f>
        <v>0</v>
      </c>
      <c r="W4" s="7" t="s">
        <v>7</v>
      </c>
      <c r="X4" s="5">
        <f>Литература!E4</f>
        <v>0</v>
      </c>
      <c r="Y4" s="6" t="s">
        <v>7</v>
      </c>
      <c r="Z4" s="3">
        <f>Математика!E4</f>
        <v>0</v>
      </c>
      <c r="AA4" s="7" t="s">
        <v>7</v>
      </c>
      <c r="AB4" s="5">
        <f>Нем.язык!E4</f>
        <v>0</v>
      </c>
      <c r="AC4" s="6" t="s">
        <v>7</v>
      </c>
      <c r="AD4" s="3">
        <f>ОБЗР!E4</f>
        <v>0</v>
      </c>
      <c r="AE4" s="7" t="s">
        <v>7</v>
      </c>
      <c r="AF4" s="5">
        <f>Обществознание!E4</f>
        <v>0</v>
      </c>
      <c r="AG4" s="6" t="s">
        <v>7</v>
      </c>
      <c r="AH4" s="3">
        <f>Право!E4</f>
        <v>0</v>
      </c>
      <c r="AI4" s="7" t="s">
        <v>7</v>
      </c>
      <c r="AJ4" s="5">
        <f>Программирование!E4</f>
        <v>0</v>
      </c>
      <c r="AK4" s="6" t="s">
        <v>7</v>
      </c>
      <c r="AL4" s="3">
        <f>Робототехника!E4</f>
        <v>0</v>
      </c>
      <c r="AM4" s="7" t="s">
        <v>7</v>
      </c>
      <c r="AN4" s="5">
        <f>'Русский язык'!E4</f>
        <v>0</v>
      </c>
      <c r="AO4" s="6" t="s">
        <v>7</v>
      </c>
      <c r="AP4" s="3">
        <f>Труд!E4</f>
        <v>0</v>
      </c>
      <c r="AQ4" s="7" t="s">
        <v>7</v>
      </c>
      <c r="AR4" s="5">
        <f>Физ.культура!E4</f>
        <v>0</v>
      </c>
      <c r="AS4" s="6" t="s">
        <v>7</v>
      </c>
      <c r="AT4" s="3">
        <f>Физика!E4</f>
        <v>0</v>
      </c>
      <c r="AU4" s="7" t="s">
        <v>7</v>
      </c>
      <c r="AV4" s="5">
        <f>Фран.язык!E4</f>
        <v>0</v>
      </c>
      <c r="AW4" s="6" t="s">
        <v>7</v>
      </c>
      <c r="AX4" s="3">
        <f>Химия!E4</f>
        <v>0</v>
      </c>
      <c r="AY4" s="7" t="s">
        <v>7</v>
      </c>
      <c r="AZ4" s="5">
        <f>Экология!E4</f>
        <v>0</v>
      </c>
      <c r="BA4" s="6" t="s">
        <v>7</v>
      </c>
      <c r="BB4" s="3">
        <f>Экономика!E4</f>
        <v>0</v>
      </c>
    </row>
    <row r="5" spans="1:54" x14ac:dyDescent="0.25">
      <c r="A5" s="6" t="s">
        <v>8</v>
      </c>
      <c r="B5" s="3">
        <f>'Англ. язык'!E5</f>
        <v>0</v>
      </c>
      <c r="C5" s="7" t="s">
        <v>8</v>
      </c>
      <c r="D5" s="5">
        <f>Астрономия!E5</f>
        <v>0</v>
      </c>
      <c r="E5" s="6" t="s">
        <v>8</v>
      </c>
      <c r="F5" s="3">
        <f>Биология!E5</f>
        <v>0</v>
      </c>
      <c r="G5" s="7" t="s">
        <v>8</v>
      </c>
      <c r="H5" s="5">
        <f>География!E5</f>
        <v>0</v>
      </c>
      <c r="I5" s="6" t="s">
        <v>8</v>
      </c>
      <c r="J5" s="3">
        <f>ИИ!E5</f>
        <v>0</v>
      </c>
      <c r="K5" s="7" t="s">
        <v>8</v>
      </c>
      <c r="L5" s="5">
        <f>Инф.без.!E5</f>
        <v>0</v>
      </c>
      <c r="M5" s="6" t="s">
        <v>8</v>
      </c>
      <c r="N5" s="3">
        <f>Искусство!E5</f>
        <v>0</v>
      </c>
      <c r="O5" s="7" t="s">
        <v>8</v>
      </c>
      <c r="P5" s="5">
        <f>Исп.язык!E5</f>
        <v>0</v>
      </c>
      <c r="Q5" s="6" t="s">
        <v>8</v>
      </c>
      <c r="R5" s="3">
        <f>История!E5</f>
        <v>0</v>
      </c>
      <c r="S5" s="7" t="s">
        <v>8</v>
      </c>
      <c r="T5" s="5">
        <f>Итал.язык!E5</f>
        <v>0</v>
      </c>
      <c r="U5" s="6" t="s">
        <v>8</v>
      </c>
      <c r="V5" s="3">
        <f>Кит.язык!E5</f>
        <v>0</v>
      </c>
      <c r="W5" s="7" t="s">
        <v>8</v>
      </c>
      <c r="X5" s="5">
        <f>Литература!E5</f>
        <v>0</v>
      </c>
      <c r="Y5" s="6" t="s">
        <v>8</v>
      </c>
      <c r="Z5" s="3">
        <f>Математика!E5</f>
        <v>0</v>
      </c>
      <c r="AA5" s="7" t="s">
        <v>8</v>
      </c>
      <c r="AB5" s="5">
        <f>Нем.язык!E5</f>
        <v>0</v>
      </c>
      <c r="AC5" s="6" t="s">
        <v>8</v>
      </c>
      <c r="AD5" s="3">
        <f>ОБЗР!E5</f>
        <v>0</v>
      </c>
      <c r="AE5" s="7" t="s">
        <v>8</v>
      </c>
      <c r="AF5" s="5">
        <f>Обществознание!E5</f>
        <v>0</v>
      </c>
      <c r="AG5" s="6" t="s">
        <v>8</v>
      </c>
      <c r="AH5" s="3">
        <f>Право!E5</f>
        <v>0</v>
      </c>
      <c r="AI5" s="7" t="s">
        <v>8</v>
      </c>
      <c r="AJ5" s="5">
        <f>Программирование!E5</f>
        <v>0</v>
      </c>
      <c r="AK5" s="6" t="s">
        <v>8</v>
      </c>
      <c r="AL5" s="3">
        <f>Робототехника!E5</f>
        <v>0</v>
      </c>
      <c r="AM5" s="7" t="s">
        <v>8</v>
      </c>
      <c r="AN5" s="5">
        <f>'Русский язык'!E5</f>
        <v>0</v>
      </c>
      <c r="AO5" s="6" t="s">
        <v>8</v>
      </c>
      <c r="AP5" s="3">
        <f>Труд!E5</f>
        <v>0</v>
      </c>
      <c r="AQ5" s="7" t="s">
        <v>8</v>
      </c>
      <c r="AR5" s="5">
        <f>Физ.культура!E5</f>
        <v>0</v>
      </c>
      <c r="AS5" s="6" t="s">
        <v>8</v>
      </c>
      <c r="AT5" s="3">
        <f>Физика!E5</f>
        <v>0</v>
      </c>
      <c r="AU5" s="7" t="s">
        <v>8</v>
      </c>
      <c r="AV5" s="5">
        <f>Фран.язык!E5</f>
        <v>0</v>
      </c>
      <c r="AW5" s="6" t="s">
        <v>8</v>
      </c>
      <c r="AX5" s="3">
        <f>Химия!E5</f>
        <v>0</v>
      </c>
      <c r="AY5" s="7" t="s">
        <v>8</v>
      </c>
      <c r="AZ5" s="5">
        <f>Экология!E5</f>
        <v>0</v>
      </c>
      <c r="BA5" s="6" t="s">
        <v>8</v>
      </c>
      <c r="BB5" s="3">
        <f>Экономика!E5</f>
        <v>0</v>
      </c>
    </row>
    <row r="6" spans="1:54" x14ac:dyDescent="0.25">
      <c r="A6" s="6" t="s">
        <v>9</v>
      </c>
      <c r="B6" s="3">
        <f>'Англ. язык'!E6</f>
        <v>0</v>
      </c>
      <c r="C6" s="7" t="s">
        <v>9</v>
      </c>
      <c r="D6" s="5">
        <f>Астрономия!E6</f>
        <v>0</v>
      </c>
      <c r="E6" s="6" t="s">
        <v>9</v>
      </c>
      <c r="F6" s="3">
        <f>Биология!E6</f>
        <v>0</v>
      </c>
      <c r="G6" s="7" t="s">
        <v>9</v>
      </c>
      <c r="H6" s="5">
        <f>География!E6</f>
        <v>0</v>
      </c>
      <c r="I6" s="6" t="s">
        <v>9</v>
      </c>
      <c r="J6" s="3">
        <f>ИИ!E6</f>
        <v>0</v>
      </c>
      <c r="K6" s="7" t="s">
        <v>9</v>
      </c>
      <c r="L6" s="5">
        <f>Инф.без.!E6</f>
        <v>0</v>
      </c>
      <c r="M6" s="6" t="s">
        <v>9</v>
      </c>
      <c r="N6" s="3">
        <f>Искусство!E6</f>
        <v>0</v>
      </c>
      <c r="O6" s="7" t="s">
        <v>9</v>
      </c>
      <c r="P6" s="5">
        <f>Исп.язык!E6</f>
        <v>0</v>
      </c>
      <c r="Q6" s="6" t="s">
        <v>9</v>
      </c>
      <c r="R6" s="3">
        <f>История!E6</f>
        <v>0</v>
      </c>
      <c r="S6" s="7" t="s">
        <v>9</v>
      </c>
      <c r="T6" s="5">
        <f>Итал.язык!E6</f>
        <v>0</v>
      </c>
      <c r="U6" s="6" t="s">
        <v>9</v>
      </c>
      <c r="V6" s="3">
        <f>Кит.язык!E6</f>
        <v>0</v>
      </c>
      <c r="W6" s="7" t="s">
        <v>9</v>
      </c>
      <c r="X6" s="5">
        <f>Литература!E6</f>
        <v>0</v>
      </c>
      <c r="Y6" s="6" t="s">
        <v>9</v>
      </c>
      <c r="Z6" s="3">
        <f>Математика!E6</f>
        <v>0</v>
      </c>
      <c r="AA6" s="7" t="s">
        <v>9</v>
      </c>
      <c r="AB6" s="5">
        <f>Нем.язык!E6</f>
        <v>0</v>
      </c>
      <c r="AC6" s="6" t="s">
        <v>9</v>
      </c>
      <c r="AD6" s="3">
        <f>ОБЗР!E6</f>
        <v>0</v>
      </c>
      <c r="AE6" s="7" t="s">
        <v>9</v>
      </c>
      <c r="AF6" s="5">
        <f>Обществознание!E6</f>
        <v>0</v>
      </c>
      <c r="AG6" s="6" t="s">
        <v>9</v>
      </c>
      <c r="AH6" s="3">
        <f>Право!E6</f>
        <v>0</v>
      </c>
      <c r="AI6" s="7" t="s">
        <v>9</v>
      </c>
      <c r="AJ6" s="5">
        <f>Программирование!E6</f>
        <v>0</v>
      </c>
      <c r="AK6" s="6" t="s">
        <v>9</v>
      </c>
      <c r="AL6" s="3">
        <f>Робототехника!E6</f>
        <v>0</v>
      </c>
      <c r="AM6" s="7" t="s">
        <v>9</v>
      </c>
      <c r="AN6" s="5">
        <f>'Русский язык'!E6</f>
        <v>0</v>
      </c>
      <c r="AO6" s="6" t="s">
        <v>9</v>
      </c>
      <c r="AP6" s="3">
        <f>Труд!E6</f>
        <v>0</v>
      </c>
      <c r="AQ6" s="7" t="s">
        <v>9</v>
      </c>
      <c r="AR6" s="5">
        <f>Физ.культура!E6</f>
        <v>0</v>
      </c>
      <c r="AS6" s="6" t="s">
        <v>9</v>
      </c>
      <c r="AT6" s="3">
        <f>Физика!E6</f>
        <v>0</v>
      </c>
      <c r="AU6" s="7" t="s">
        <v>9</v>
      </c>
      <c r="AV6" s="5">
        <f>Фран.язык!E6</f>
        <v>0</v>
      </c>
      <c r="AW6" s="6" t="s">
        <v>9</v>
      </c>
      <c r="AX6" s="3">
        <f>Химия!E6</f>
        <v>0</v>
      </c>
      <c r="AY6" s="7" t="s">
        <v>9</v>
      </c>
      <c r="AZ6" s="5">
        <f>Экология!E6</f>
        <v>0</v>
      </c>
      <c r="BA6" s="6" t="s">
        <v>9</v>
      </c>
      <c r="BB6" s="3">
        <f>Экономика!E6</f>
        <v>0</v>
      </c>
    </row>
    <row r="7" spans="1:54" x14ac:dyDescent="0.25">
      <c r="A7" s="6" t="s">
        <v>10</v>
      </c>
      <c r="B7" s="3">
        <f>'Англ. язык'!E7</f>
        <v>0</v>
      </c>
      <c r="C7" s="7" t="s">
        <v>10</v>
      </c>
      <c r="D7" s="5">
        <f>Астрономия!E7</f>
        <v>0</v>
      </c>
      <c r="E7" s="6" t="s">
        <v>10</v>
      </c>
      <c r="F7" s="3">
        <f>Биология!E7</f>
        <v>0</v>
      </c>
      <c r="G7" s="7" t="s">
        <v>10</v>
      </c>
      <c r="H7" s="5">
        <f>География!E7</f>
        <v>0</v>
      </c>
      <c r="I7" s="6" t="s">
        <v>10</v>
      </c>
      <c r="J7" s="3">
        <f>ИИ!E7</f>
        <v>0</v>
      </c>
      <c r="K7" s="7" t="s">
        <v>10</v>
      </c>
      <c r="L7" s="5">
        <f>Инф.без.!E7</f>
        <v>0</v>
      </c>
      <c r="M7" s="6" t="s">
        <v>10</v>
      </c>
      <c r="N7" s="3">
        <f>Искусство!E7</f>
        <v>0</v>
      </c>
      <c r="O7" s="7" t="s">
        <v>10</v>
      </c>
      <c r="P7" s="5">
        <f>Исп.язык!E7</f>
        <v>0</v>
      </c>
      <c r="Q7" s="6" t="s">
        <v>10</v>
      </c>
      <c r="R7" s="3">
        <f>История!E7</f>
        <v>0</v>
      </c>
      <c r="S7" s="7" t="s">
        <v>10</v>
      </c>
      <c r="T7" s="5">
        <f>Итал.язык!E7</f>
        <v>0</v>
      </c>
      <c r="U7" s="6" t="s">
        <v>10</v>
      </c>
      <c r="V7" s="3">
        <f>Кит.язык!E7</f>
        <v>0</v>
      </c>
      <c r="W7" s="7" t="s">
        <v>10</v>
      </c>
      <c r="X7" s="5">
        <f>Литература!E7</f>
        <v>0</v>
      </c>
      <c r="Y7" s="6" t="s">
        <v>10</v>
      </c>
      <c r="Z7" s="3">
        <f>Математика!E7</f>
        <v>0</v>
      </c>
      <c r="AA7" s="7" t="s">
        <v>10</v>
      </c>
      <c r="AB7" s="5">
        <f>Нем.язык!E7</f>
        <v>0</v>
      </c>
      <c r="AC7" s="6" t="s">
        <v>10</v>
      </c>
      <c r="AD7" s="3">
        <f>ОБЗР!E7</f>
        <v>0</v>
      </c>
      <c r="AE7" s="7" t="s">
        <v>10</v>
      </c>
      <c r="AF7" s="5">
        <f>Обществознание!E7</f>
        <v>0</v>
      </c>
      <c r="AG7" s="6" t="s">
        <v>10</v>
      </c>
      <c r="AH7" s="3">
        <f>Право!E7</f>
        <v>0</v>
      </c>
      <c r="AI7" s="7" t="s">
        <v>10</v>
      </c>
      <c r="AJ7" s="5">
        <f>Программирование!E7</f>
        <v>0</v>
      </c>
      <c r="AK7" s="6" t="s">
        <v>10</v>
      </c>
      <c r="AL7" s="3">
        <f>Робототехника!E7</f>
        <v>0</v>
      </c>
      <c r="AM7" s="7" t="s">
        <v>10</v>
      </c>
      <c r="AN7" s="5">
        <f>'Русский язык'!E7</f>
        <v>0</v>
      </c>
      <c r="AO7" s="6" t="s">
        <v>10</v>
      </c>
      <c r="AP7" s="3">
        <f>Труд!E7</f>
        <v>0</v>
      </c>
      <c r="AQ7" s="7" t="s">
        <v>10</v>
      </c>
      <c r="AR7" s="5">
        <f>Физ.культура!E7</f>
        <v>0</v>
      </c>
      <c r="AS7" s="6" t="s">
        <v>10</v>
      </c>
      <c r="AT7" s="3">
        <f>Физика!E7</f>
        <v>0</v>
      </c>
      <c r="AU7" s="7" t="s">
        <v>10</v>
      </c>
      <c r="AV7" s="5">
        <f>Фран.язык!E7</f>
        <v>0</v>
      </c>
      <c r="AW7" s="6" t="s">
        <v>10</v>
      </c>
      <c r="AX7" s="3">
        <f>Химия!E7</f>
        <v>0</v>
      </c>
      <c r="AY7" s="7" t="s">
        <v>10</v>
      </c>
      <c r="AZ7" s="5">
        <f>Экология!E7</f>
        <v>0</v>
      </c>
      <c r="BA7" s="6" t="s">
        <v>10</v>
      </c>
      <c r="BB7" s="3">
        <f>Экономика!E7</f>
        <v>0</v>
      </c>
    </row>
    <row r="8" spans="1:54" x14ac:dyDescent="0.25">
      <c r="A8" s="6" t="s">
        <v>11</v>
      </c>
      <c r="B8" s="3">
        <f>'Англ. язык'!E8</f>
        <v>0</v>
      </c>
      <c r="C8" s="7" t="s">
        <v>11</v>
      </c>
      <c r="D8" s="5">
        <f>Астрономия!E8</f>
        <v>0</v>
      </c>
      <c r="E8" s="6" t="s">
        <v>11</v>
      </c>
      <c r="F8" s="3">
        <f>Биология!E8</f>
        <v>0</v>
      </c>
      <c r="G8" s="7" t="s">
        <v>11</v>
      </c>
      <c r="H8" s="5">
        <f>География!E8</f>
        <v>0</v>
      </c>
      <c r="I8" s="6" t="s">
        <v>11</v>
      </c>
      <c r="J8" s="3">
        <f>ИИ!E8</f>
        <v>0</v>
      </c>
      <c r="K8" s="7" t="s">
        <v>11</v>
      </c>
      <c r="L8" s="5">
        <f>Инф.без.!E8</f>
        <v>0</v>
      </c>
      <c r="M8" s="6" t="s">
        <v>11</v>
      </c>
      <c r="N8" s="3">
        <f>Искусство!E8</f>
        <v>0</v>
      </c>
      <c r="O8" s="7" t="s">
        <v>11</v>
      </c>
      <c r="P8" s="5">
        <f>Исп.язык!E8</f>
        <v>0</v>
      </c>
      <c r="Q8" s="6" t="s">
        <v>11</v>
      </c>
      <c r="R8" s="3">
        <f>История!E8</f>
        <v>0</v>
      </c>
      <c r="S8" s="7" t="s">
        <v>11</v>
      </c>
      <c r="T8" s="5">
        <f>Итал.язык!E8</f>
        <v>0</v>
      </c>
      <c r="U8" s="6" t="s">
        <v>11</v>
      </c>
      <c r="V8" s="3">
        <f>Кит.язык!E8</f>
        <v>0</v>
      </c>
      <c r="W8" s="7" t="s">
        <v>11</v>
      </c>
      <c r="X8" s="5">
        <f>Литература!E8</f>
        <v>0</v>
      </c>
      <c r="Y8" s="6" t="s">
        <v>11</v>
      </c>
      <c r="Z8" s="3">
        <f>Математика!E8</f>
        <v>0</v>
      </c>
      <c r="AA8" s="7" t="s">
        <v>11</v>
      </c>
      <c r="AB8" s="5">
        <f>Нем.язык!E8</f>
        <v>0</v>
      </c>
      <c r="AC8" s="6" t="s">
        <v>11</v>
      </c>
      <c r="AD8" s="3">
        <f>ОБЗР!E8</f>
        <v>0</v>
      </c>
      <c r="AE8" s="7" t="s">
        <v>11</v>
      </c>
      <c r="AF8" s="5">
        <f>Обществознание!E8</f>
        <v>0</v>
      </c>
      <c r="AG8" s="6" t="s">
        <v>11</v>
      </c>
      <c r="AH8" s="3">
        <f>Право!E8</f>
        <v>0</v>
      </c>
      <c r="AI8" s="7" t="s">
        <v>11</v>
      </c>
      <c r="AJ8" s="5">
        <f>Программирование!E8</f>
        <v>0</v>
      </c>
      <c r="AK8" s="6" t="s">
        <v>11</v>
      </c>
      <c r="AL8" s="3">
        <f>Робототехника!E8</f>
        <v>0</v>
      </c>
      <c r="AM8" s="7" t="s">
        <v>11</v>
      </c>
      <c r="AN8" s="5">
        <f>'Русский язык'!E8</f>
        <v>0</v>
      </c>
      <c r="AO8" s="6" t="s">
        <v>11</v>
      </c>
      <c r="AP8" s="3">
        <f>Труд!E8</f>
        <v>0</v>
      </c>
      <c r="AQ8" s="7" t="s">
        <v>11</v>
      </c>
      <c r="AR8" s="5">
        <f>Физ.культура!E8</f>
        <v>0</v>
      </c>
      <c r="AS8" s="6" t="s">
        <v>11</v>
      </c>
      <c r="AT8" s="3">
        <f>Физика!E8</f>
        <v>0</v>
      </c>
      <c r="AU8" s="7" t="s">
        <v>11</v>
      </c>
      <c r="AV8" s="5">
        <f>Фран.язык!E8</f>
        <v>0</v>
      </c>
      <c r="AW8" s="6" t="s">
        <v>11</v>
      </c>
      <c r="AX8" s="3">
        <f>Химия!E8</f>
        <v>0</v>
      </c>
      <c r="AY8" s="7" t="s">
        <v>11</v>
      </c>
      <c r="AZ8" s="5">
        <f>Экология!E8</f>
        <v>0</v>
      </c>
      <c r="BA8" s="6" t="s">
        <v>11</v>
      </c>
      <c r="BB8" s="3">
        <f>Экономика!E8</f>
        <v>0</v>
      </c>
    </row>
    <row r="9" spans="1:54" x14ac:dyDescent="0.25">
      <c r="A9" s="6" t="s">
        <v>12</v>
      </c>
      <c r="B9" s="3">
        <f>'Англ. язык'!E9</f>
        <v>0</v>
      </c>
      <c r="C9" s="7" t="s">
        <v>12</v>
      </c>
      <c r="D9" s="5">
        <f>Астрономия!E9</f>
        <v>0</v>
      </c>
      <c r="E9" s="6" t="s">
        <v>12</v>
      </c>
      <c r="F9" s="3">
        <f>Биология!E9</f>
        <v>0</v>
      </c>
      <c r="G9" s="7" t="s">
        <v>12</v>
      </c>
      <c r="H9" s="5">
        <f>География!E9</f>
        <v>0</v>
      </c>
      <c r="I9" s="6" t="s">
        <v>12</v>
      </c>
      <c r="J9" s="3">
        <f>ИИ!E9</f>
        <v>0</v>
      </c>
      <c r="K9" s="7" t="s">
        <v>12</v>
      </c>
      <c r="L9" s="5">
        <f>Инф.без.!E9</f>
        <v>0</v>
      </c>
      <c r="M9" s="6" t="s">
        <v>12</v>
      </c>
      <c r="N9" s="3">
        <f>Искусство!E9</f>
        <v>0</v>
      </c>
      <c r="O9" s="7" t="s">
        <v>12</v>
      </c>
      <c r="P9" s="5">
        <f>Исп.язык!E9</f>
        <v>0</v>
      </c>
      <c r="Q9" s="6" t="s">
        <v>12</v>
      </c>
      <c r="R9" s="3">
        <f>История!E9</f>
        <v>0</v>
      </c>
      <c r="S9" s="7" t="s">
        <v>12</v>
      </c>
      <c r="T9" s="5">
        <f>Итал.язык!E9</f>
        <v>0</v>
      </c>
      <c r="U9" s="6" t="s">
        <v>12</v>
      </c>
      <c r="V9" s="3">
        <f>Кит.язык!E9</f>
        <v>0</v>
      </c>
      <c r="W9" s="7" t="s">
        <v>12</v>
      </c>
      <c r="X9" s="5">
        <f>Литература!E9</f>
        <v>0</v>
      </c>
      <c r="Y9" s="6" t="s">
        <v>12</v>
      </c>
      <c r="Z9" s="3">
        <f>Математика!E9</f>
        <v>0</v>
      </c>
      <c r="AA9" s="7" t="s">
        <v>12</v>
      </c>
      <c r="AB9" s="5">
        <f>Нем.язык!E9</f>
        <v>0</v>
      </c>
      <c r="AC9" s="6" t="s">
        <v>12</v>
      </c>
      <c r="AD9" s="3">
        <f>ОБЗР!E9</f>
        <v>0</v>
      </c>
      <c r="AE9" s="7" t="s">
        <v>12</v>
      </c>
      <c r="AF9" s="5">
        <f>Обществознание!E9</f>
        <v>0</v>
      </c>
      <c r="AG9" s="6" t="s">
        <v>12</v>
      </c>
      <c r="AH9" s="3">
        <f>Право!E9</f>
        <v>0</v>
      </c>
      <c r="AI9" s="7" t="s">
        <v>12</v>
      </c>
      <c r="AJ9" s="5">
        <f>Программирование!E9</f>
        <v>0</v>
      </c>
      <c r="AK9" s="6" t="s">
        <v>12</v>
      </c>
      <c r="AL9" s="3">
        <f>Робототехника!E9</f>
        <v>0</v>
      </c>
      <c r="AM9" s="7" t="s">
        <v>12</v>
      </c>
      <c r="AN9" s="5">
        <f>'Русский язык'!E9</f>
        <v>0</v>
      </c>
      <c r="AO9" s="6" t="s">
        <v>12</v>
      </c>
      <c r="AP9" s="3">
        <f>Труд!E9</f>
        <v>0</v>
      </c>
      <c r="AQ9" s="7" t="s">
        <v>12</v>
      </c>
      <c r="AR9" s="5">
        <f>Физ.культура!E9</f>
        <v>0</v>
      </c>
      <c r="AS9" s="6" t="s">
        <v>12</v>
      </c>
      <c r="AT9" s="3">
        <f>Физика!E9</f>
        <v>0</v>
      </c>
      <c r="AU9" s="7" t="s">
        <v>12</v>
      </c>
      <c r="AV9" s="5">
        <f>Фран.язык!E9</f>
        <v>0</v>
      </c>
      <c r="AW9" s="6" t="s">
        <v>12</v>
      </c>
      <c r="AX9" s="3">
        <f>Химия!E9</f>
        <v>0</v>
      </c>
      <c r="AY9" s="7" t="s">
        <v>12</v>
      </c>
      <c r="AZ9" s="5">
        <f>Экология!E9</f>
        <v>0</v>
      </c>
      <c r="BA9" s="6" t="s">
        <v>12</v>
      </c>
      <c r="BB9" s="3">
        <f>Экономика!E9</f>
        <v>0</v>
      </c>
    </row>
    <row r="10" spans="1:54" x14ac:dyDescent="0.25">
      <c r="A10" s="6" t="s">
        <v>13</v>
      </c>
      <c r="B10" s="3">
        <f>'Англ. язык'!E10</f>
        <v>0</v>
      </c>
      <c r="C10" s="7" t="s">
        <v>13</v>
      </c>
      <c r="D10" s="5">
        <f>Астрономия!E10</f>
        <v>0</v>
      </c>
      <c r="E10" s="6" t="s">
        <v>13</v>
      </c>
      <c r="F10" s="3">
        <f>Биология!E10</f>
        <v>0</v>
      </c>
      <c r="G10" s="7" t="s">
        <v>13</v>
      </c>
      <c r="H10" s="5">
        <f>География!E10</f>
        <v>0</v>
      </c>
      <c r="I10" s="6" t="s">
        <v>13</v>
      </c>
      <c r="J10" s="3">
        <f>ИИ!E10</f>
        <v>0</v>
      </c>
      <c r="K10" s="7" t="s">
        <v>13</v>
      </c>
      <c r="L10" s="5">
        <f>Инф.без.!E10</f>
        <v>0</v>
      </c>
      <c r="M10" s="6" t="s">
        <v>13</v>
      </c>
      <c r="N10" s="3">
        <f>Искусство!E10</f>
        <v>0</v>
      </c>
      <c r="O10" s="7" t="s">
        <v>13</v>
      </c>
      <c r="P10" s="5">
        <f>Исп.язык!E10</f>
        <v>0</v>
      </c>
      <c r="Q10" s="6" t="s">
        <v>13</v>
      </c>
      <c r="R10" s="3">
        <f>История!E10</f>
        <v>0</v>
      </c>
      <c r="S10" s="7" t="s">
        <v>13</v>
      </c>
      <c r="T10" s="5">
        <f>Итал.язык!E10</f>
        <v>0</v>
      </c>
      <c r="U10" s="6" t="s">
        <v>13</v>
      </c>
      <c r="V10" s="3">
        <f>Кит.язык!E10</f>
        <v>0</v>
      </c>
      <c r="W10" s="7" t="s">
        <v>13</v>
      </c>
      <c r="X10" s="5">
        <f>Литература!E10</f>
        <v>0</v>
      </c>
      <c r="Y10" s="6" t="s">
        <v>13</v>
      </c>
      <c r="Z10" s="3">
        <f>Математика!E10</f>
        <v>0</v>
      </c>
      <c r="AA10" s="7" t="s">
        <v>13</v>
      </c>
      <c r="AB10" s="5">
        <f>Нем.язык!E10</f>
        <v>0</v>
      </c>
      <c r="AC10" s="6" t="s">
        <v>13</v>
      </c>
      <c r="AD10" s="3">
        <f>ОБЗР!E10</f>
        <v>0</v>
      </c>
      <c r="AE10" s="7" t="s">
        <v>13</v>
      </c>
      <c r="AF10" s="5">
        <f>Обществознание!E10</f>
        <v>0</v>
      </c>
      <c r="AG10" s="6" t="s">
        <v>13</v>
      </c>
      <c r="AH10" s="3">
        <f>Право!E10</f>
        <v>0</v>
      </c>
      <c r="AI10" s="7" t="s">
        <v>13</v>
      </c>
      <c r="AJ10" s="5">
        <f>Программирование!E10</f>
        <v>0</v>
      </c>
      <c r="AK10" s="6" t="s">
        <v>13</v>
      </c>
      <c r="AL10" s="3">
        <f>Робототехника!E10</f>
        <v>0</v>
      </c>
      <c r="AM10" s="7" t="s">
        <v>13</v>
      </c>
      <c r="AN10" s="5">
        <f>'Русский язык'!E10</f>
        <v>0</v>
      </c>
      <c r="AO10" s="6" t="s">
        <v>13</v>
      </c>
      <c r="AP10" s="3">
        <f>Труд!E10</f>
        <v>0</v>
      </c>
      <c r="AQ10" s="7" t="s">
        <v>13</v>
      </c>
      <c r="AR10" s="5">
        <f>Физ.культура!E10</f>
        <v>0</v>
      </c>
      <c r="AS10" s="6" t="s">
        <v>13</v>
      </c>
      <c r="AT10" s="3">
        <f>Физика!E10</f>
        <v>0</v>
      </c>
      <c r="AU10" s="7" t="s">
        <v>13</v>
      </c>
      <c r="AV10" s="5">
        <f>Фран.язык!E10</f>
        <v>0</v>
      </c>
      <c r="AW10" s="6" t="s">
        <v>13</v>
      </c>
      <c r="AX10" s="3">
        <f>Химия!E10</f>
        <v>0</v>
      </c>
      <c r="AY10" s="7" t="s">
        <v>13</v>
      </c>
      <c r="AZ10" s="5">
        <f>Экология!E10</f>
        <v>0</v>
      </c>
      <c r="BA10" s="6" t="s">
        <v>13</v>
      </c>
      <c r="BB10" s="3">
        <f>Экономика!E10</f>
        <v>0</v>
      </c>
    </row>
    <row r="11" spans="1:54" x14ac:dyDescent="0.25">
      <c r="A11" s="6" t="s">
        <v>14</v>
      </c>
      <c r="B11" s="3">
        <f>'Англ. язык'!E11</f>
        <v>0</v>
      </c>
      <c r="C11" s="7" t="s">
        <v>14</v>
      </c>
      <c r="D11" s="5">
        <f>Астрономия!E11</f>
        <v>0</v>
      </c>
      <c r="E11" s="6" t="s">
        <v>14</v>
      </c>
      <c r="F11" s="3">
        <f>Биология!E11</f>
        <v>0</v>
      </c>
      <c r="G11" s="7" t="s">
        <v>14</v>
      </c>
      <c r="H11" s="5">
        <f>География!E11</f>
        <v>0</v>
      </c>
      <c r="I11" s="6" t="s">
        <v>14</v>
      </c>
      <c r="J11" s="3">
        <f>ИИ!E11</f>
        <v>0</v>
      </c>
      <c r="K11" s="7" t="s">
        <v>14</v>
      </c>
      <c r="L11" s="5">
        <f>Инф.без.!E11</f>
        <v>0</v>
      </c>
      <c r="M11" s="6" t="s">
        <v>14</v>
      </c>
      <c r="N11" s="3">
        <f>Искусство!E11</f>
        <v>0</v>
      </c>
      <c r="O11" s="7" t="s">
        <v>14</v>
      </c>
      <c r="P11" s="5">
        <f>Исп.язык!E11</f>
        <v>0</v>
      </c>
      <c r="Q11" s="6" t="s">
        <v>14</v>
      </c>
      <c r="R11" s="3">
        <f>История!E11</f>
        <v>0</v>
      </c>
      <c r="S11" s="7" t="s">
        <v>14</v>
      </c>
      <c r="T11" s="5">
        <f>Итал.язык!E11</f>
        <v>0</v>
      </c>
      <c r="U11" s="6" t="s">
        <v>14</v>
      </c>
      <c r="V11" s="3">
        <f>Кит.язык!E11</f>
        <v>0</v>
      </c>
      <c r="W11" s="7" t="s">
        <v>14</v>
      </c>
      <c r="X11" s="5">
        <f>Литература!E11</f>
        <v>0</v>
      </c>
      <c r="Y11" s="6" t="s">
        <v>14</v>
      </c>
      <c r="Z11" s="3">
        <f>Математика!E11</f>
        <v>0</v>
      </c>
      <c r="AA11" s="7" t="s">
        <v>14</v>
      </c>
      <c r="AB11" s="5">
        <f>Нем.язык!E11</f>
        <v>0</v>
      </c>
      <c r="AC11" s="6" t="s">
        <v>14</v>
      </c>
      <c r="AD11" s="3">
        <f>ОБЗР!E11</f>
        <v>0</v>
      </c>
      <c r="AE11" s="7" t="s">
        <v>14</v>
      </c>
      <c r="AF11" s="5">
        <f>Обществознание!E11</f>
        <v>0</v>
      </c>
      <c r="AG11" s="6" t="s">
        <v>14</v>
      </c>
      <c r="AH11" s="3">
        <f>Право!E11</f>
        <v>0</v>
      </c>
      <c r="AI11" s="7" t="s">
        <v>14</v>
      </c>
      <c r="AJ11" s="5">
        <f>Программирование!E11</f>
        <v>0</v>
      </c>
      <c r="AK11" s="6" t="s">
        <v>14</v>
      </c>
      <c r="AL11" s="3">
        <f>Робототехника!E11</f>
        <v>0</v>
      </c>
      <c r="AM11" s="7" t="s">
        <v>14</v>
      </c>
      <c r="AN11" s="5">
        <f>'Русский язык'!E11</f>
        <v>0</v>
      </c>
      <c r="AO11" s="6" t="s">
        <v>14</v>
      </c>
      <c r="AP11" s="3">
        <f>Труд!E11</f>
        <v>0</v>
      </c>
      <c r="AQ11" s="7" t="s">
        <v>14</v>
      </c>
      <c r="AR11" s="5">
        <f>Физ.культура!E11</f>
        <v>0</v>
      </c>
      <c r="AS11" s="6" t="s">
        <v>14</v>
      </c>
      <c r="AT11" s="3">
        <f>Физика!E11</f>
        <v>0</v>
      </c>
      <c r="AU11" s="7" t="s">
        <v>14</v>
      </c>
      <c r="AV11" s="5">
        <f>Фран.язык!E11</f>
        <v>0</v>
      </c>
      <c r="AW11" s="6" t="s">
        <v>14</v>
      </c>
      <c r="AX11" s="3">
        <f>Химия!E11</f>
        <v>0</v>
      </c>
      <c r="AY11" s="7" t="s">
        <v>14</v>
      </c>
      <c r="AZ11" s="5">
        <f>Экология!E11</f>
        <v>0</v>
      </c>
      <c r="BA11" s="6" t="s">
        <v>14</v>
      </c>
      <c r="BB11" s="3">
        <f>Экономика!E11</f>
        <v>0</v>
      </c>
    </row>
    <row r="12" spans="1:54" x14ac:dyDescent="0.25">
      <c r="A12" s="6" t="s">
        <v>15</v>
      </c>
      <c r="B12" s="3">
        <f>'Англ. язык'!E12</f>
        <v>0</v>
      </c>
      <c r="C12" s="7" t="s">
        <v>15</v>
      </c>
      <c r="D12" s="5">
        <f>Астрономия!E12</f>
        <v>0</v>
      </c>
      <c r="E12" s="6" t="s">
        <v>15</v>
      </c>
      <c r="F12" s="3">
        <f>Биология!E12</f>
        <v>0</v>
      </c>
      <c r="G12" s="7" t="s">
        <v>15</v>
      </c>
      <c r="H12" s="5">
        <f>География!E12</f>
        <v>0</v>
      </c>
      <c r="I12" s="6" t="s">
        <v>15</v>
      </c>
      <c r="J12" s="3">
        <f>ИИ!E12</f>
        <v>0</v>
      </c>
      <c r="K12" s="7" t="s">
        <v>15</v>
      </c>
      <c r="L12" s="5">
        <f>Инф.без.!E12</f>
        <v>0</v>
      </c>
      <c r="M12" s="6" t="s">
        <v>15</v>
      </c>
      <c r="N12" s="3">
        <f>Искусство!E12</f>
        <v>0</v>
      </c>
      <c r="O12" s="7" t="s">
        <v>15</v>
      </c>
      <c r="P12" s="5">
        <f>Исп.язык!E12</f>
        <v>0</v>
      </c>
      <c r="Q12" s="6" t="s">
        <v>15</v>
      </c>
      <c r="R12" s="3">
        <f>История!E12</f>
        <v>0</v>
      </c>
      <c r="S12" s="7" t="s">
        <v>15</v>
      </c>
      <c r="T12" s="5">
        <f>Итал.язык!E12</f>
        <v>0</v>
      </c>
      <c r="U12" s="6" t="s">
        <v>15</v>
      </c>
      <c r="V12" s="3">
        <f>Кит.язык!E12</f>
        <v>0</v>
      </c>
      <c r="W12" s="7" t="s">
        <v>15</v>
      </c>
      <c r="X12" s="5">
        <f>Литература!E12</f>
        <v>0</v>
      </c>
      <c r="Y12" s="6" t="s">
        <v>15</v>
      </c>
      <c r="Z12" s="3">
        <f>Математика!E12</f>
        <v>0</v>
      </c>
      <c r="AA12" s="7" t="s">
        <v>15</v>
      </c>
      <c r="AB12" s="5">
        <f>Нем.язык!E12</f>
        <v>0</v>
      </c>
      <c r="AC12" s="6" t="s">
        <v>15</v>
      </c>
      <c r="AD12" s="3">
        <f>ОБЗР!E12</f>
        <v>0</v>
      </c>
      <c r="AE12" s="7" t="s">
        <v>15</v>
      </c>
      <c r="AF12" s="5">
        <f>Обществознание!E12</f>
        <v>0</v>
      </c>
      <c r="AG12" s="6" t="s">
        <v>15</v>
      </c>
      <c r="AH12" s="3">
        <f>Право!E12</f>
        <v>0</v>
      </c>
      <c r="AI12" s="7" t="s">
        <v>15</v>
      </c>
      <c r="AJ12" s="5">
        <f>Программирование!E12</f>
        <v>0</v>
      </c>
      <c r="AK12" s="6" t="s">
        <v>15</v>
      </c>
      <c r="AL12" s="3">
        <f>Робототехника!E12</f>
        <v>0</v>
      </c>
      <c r="AM12" s="7" t="s">
        <v>15</v>
      </c>
      <c r="AN12" s="5">
        <f>'Русский язык'!E12</f>
        <v>0</v>
      </c>
      <c r="AO12" s="6" t="s">
        <v>15</v>
      </c>
      <c r="AP12" s="3">
        <f>Труд!E12</f>
        <v>0</v>
      </c>
      <c r="AQ12" s="7" t="s">
        <v>15</v>
      </c>
      <c r="AR12" s="5">
        <f>Физ.культура!E12</f>
        <v>0</v>
      </c>
      <c r="AS12" s="6" t="s">
        <v>15</v>
      </c>
      <c r="AT12" s="3">
        <f>Физика!E12</f>
        <v>0</v>
      </c>
      <c r="AU12" s="7" t="s">
        <v>15</v>
      </c>
      <c r="AV12" s="5">
        <f>Фран.язык!E12</f>
        <v>0</v>
      </c>
      <c r="AW12" s="6" t="s">
        <v>15</v>
      </c>
      <c r="AX12" s="3">
        <f>Химия!E12</f>
        <v>0</v>
      </c>
      <c r="AY12" s="7" t="s">
        <v>15</v>
      </c>
      <c r="AZ12" s="5">
        <f>Экология!E12</f>
        <v>0</v>
      </c>
      <c r="BA12" s="6" t="s">
        <v>15</v>
      </c>
      <c r="BB12" s="3">
        <f>Экономика!E12</f>
        <v>0</v>
      </c>
    </row>
    <row r="13" spans="1:54" x14ac:dyDescent="0.25">
      <c r="A13" s="6" t="s">
        <v>16</v>
      </c>
      <c r="B13" s="3">
        <f>'Англ. язык'!E13</f>
        <v>0</v>
      </c>
      <c r="C13" s="7" t="s">
        <v>16</v>
      </c>
      <c r="D13" s="5">
        <f>Астрономия!E13</f>
        <v>0</v>
      </c>
      <c r="E13" s="6" t="s">
        <v>16</v>
      </c>
      <c r="F13" s="3">
        <f>Биология!E13</f>
        <v>0</v>
      </c>
      <c r="G13" s="7" t="s">
        <v>16</v>
      </c>
      <c r="H13" s="5">
        <f>География!E13</f>
        <v>0</v>
      </c>
      <c r="I13" s="6" t="s">
        <v>16</v>
      </c>
      <c r="J13" s="3">
        <f>ИИ!E13</f>
        <v>0</v>
      </c>
      <c r="K13" s="7" t="s">
        <v>16</v>
      </c>
      <c r="L13" s="5">
        <f>Инф.без.!E13</f>
        <v>0</v>
      </c>
      <c r="M13" s="6" t="s">
        <v>16</v>
      </c>
      <c r="N13" s="3">
        <f>Искусство!E13</f>
        <v>0</v>
      </c>
      <c r="O13" s="7" t="s">
        <v>16</v>
      </c>
      <c r="P13" s="5">
        <f>Исп.язык!E13</f>
        <v>0</v>
      </c>
      <c r="Q13" s="6" t="s">
        <v>16</v>
      </c>
      <c r="R13" s="3">
        <f>История!E13</f>
        <v>0</v>
      </c>
      <c r="S13" s="7" t="s">
        <v>16</v>
      </c>
      <c r="T13" s="5">
        <f>Итал.язык!E13</f>
        <v>0</v>
      </c>
      <c r="U13" s="6" t="s">
        <v>16</v>
      </c>
      <c r="V13" s="3">
        <f>Кит.язык!E13</f>
        <v>0</v>
      </c>
      <c r="W13" s="7" t="s">
        <v>16</v>
      </c>
      <c r="X13" s="5">
        <f>Литература!E13</f>
        <v>0</v>
      </c>
      <c r="Y13" s="6" t="s">
        <v>16</v>
      </c>
      <c r="Z13" s="3">
        <f>Математика!E13</f>
        <v>0</v>
      </c>
      <c r="AA13" s="7" t="s">
        <v>16</v>
      </c>
      <c r="AB13" s="5">
        <f>Нем.язык!E13</f>
        <v>0</v>
      </c>
      <c r="AC13" s="6" t="s">
        <v>16</v>
      </c>
      <c r="AD13" s="3">
        <f>ОБЗР!E13</f>
        <v>0</v>
      </c>
      <c r="AE13" s="7" t="s">
        <v>16</v>
      </c>
      <c r="AF13" s="5">
        <f>Обществознание!E13</f>
        <v>0</v>
      </c>
      <c r="AG13" s="6" t="s">
        <v>16</v>
      </c>
      <c r="AH13" s="3">
        <f>Право!E13</f>
        <v>0</v>
      </c>
      <c r="AI13" s="7" t="s">
        <v>16</v>
      </c>
      <c r="AJ13" s="5">
        <f>Программирование!E13</f>
        <v>0</v>
      </c>
      <c r="AK13" s="6" t="s">
        <v>16</v>
      </c>
      <c r="AL13" s="3">
        <f>Робототехника!E13</f>
        <v>0</v>
      </c>
      <c r="AM13" s="7" t="s">
        <v>16</v>
      </c>
      <c r="AN13" s="5">
        <f>'Русский язык'!E13</f>
        <v>0</v>
      </c>
      <c r="AO13" s="6" t="s">
        <v>16</v>
      </c>
      <c r="AP13" s="3">
        <f>Труд!E13</f>
        <v>0</v>
      </c>
      <c r="AQ13" s="7" t="s">
        <v>16</v>
      </c>
      <c r="AR13" s="5">
        <f>Физ.культура!E13</f>
        <v>0</v>
      </c>
      <c r="AS13" s="6" t="s">
        <v>16</v>
      </c>
      <c r="AT13" s="3">
        <f>Физика!E13</f>
        <v>0</v>
      </c>
      <c r="AU13" s="7" t="s">
        <v>16</v>
      </c>
      <c r="AV13" s="5">
        <f>Фран.язык!E13</f>
        <v>0</v>
      </c>
      <c r="AW13" s="6" t="s">
        <v>16</v>
      </c>
      <c r="AX13" s="3">
        <f>Химия!E13</f>
        <v>0</v>
      </c>
      <c r="AY13" s="7" t="s">
        <v>16</v>
      </c>
      <c r="AZ13" s="5">
        <f>Экология!E13</f>
        <v>0</v>
      </c>
      <c r="BA13" s="6" t="s">
        <v>16</v>
      </c>
      <c r="BB13" s="3">
        <f>Экономика!E13</f>
        <v>0</v>
      </c>
    </row>
    <row r="14" spans="1:54" x14ac:dyDescent="0.25">
      <c r="A14" s="6" t="s">
        <v>17</v>
      </c>
      <c r="B14" s="3">
        <f>'Англ. язык'!E14</f>
        <v>0</v>
      </c>
      <c r="C14" s="7" t="s">
        <v>17</v>
      </c>
      <c r="D14" s="5">
        <f>Астрономия!E14</f>
        <v>0</v>
      </c>
      <c r="E14" s="6" t="s">
        <v>17</v>
      </c>
      <c r="F14" s="3">
        <f>Биология!E14</f>
        <v>0</v>
      </c>
      <c r="G14" s="7" t="s">
        <v>17</v>
      </c>
      <c r="H14" s="5">
        <f>География!E14</f>
        <v>0</v>
      </c>
      <c r="I14" s="6" t="s">
        <v>17</v>
      </c>
      <c r="J14" s="3">
        <f>ИИ!E14</f>
        <v>0</v>
      </c>
      <c r="K14" s="7" t="s">
        <v>17</v>
      </c>
      <c r="L14" s="5">
        <f>Инф.без.!E14</f>
        <v>0</v>
      </c>
      <c r="M14" s="6" t="s">
        <v>17</v>
      </c>
      <c r="N14" s="3">
        <f>Искусство!E14</f>
        <v>0</v>
      </c>
      <c r="O14" s="7" t="s">
        <v>17</v>
      </c>
      <c r="P14" s="5">
        <f>Исп.язык!E14</f>
        <v>0</v>
      </c>
      <c r="Q14" s="6" t="s">
        <v>17</v>
      </c>
      <c r="R14" s="3">
        <f>История!E14</f>
        <v>0</v>
      </c>
      <c r="S14" s="7" t="s">
        <v>17</v>
      </c>
      <c r="T14" s="5">
        <f>Итал.язык!E14</f>
        <v>0</v>
      </c>
      <c r="U14" s="6" t="s">
        <v>17</v>
      </c>
      <c r="V14" s="3">
        <f>Кит.язык!E14</f>
        <v>0</v>
      </c>
      <c r="W14" s="7" t="s">
        <v>17</v>
      </c>
      <c r="X14" s="5">
        <f>Литература!E14</f>
        <v>0</v>
      </c>
      <c r="Y14" s="6" t="s">
        <v>17</v>
      </c>
      <c r="Z14" s="3">
        <f>Математика!E14</f>
        <v>0</v>
      </c>
      <c r="AA14" s="7" t="s">
        <v>17</v>
      </c>
      <c r="AB14" s="5">
        <f>Нем.язык!E14</f>
        <v>0</v>
      </c>
      <c r="AC14" s="6" t="s">
        <v>17</v>
      </c>
      <c r="AD14" s="3">
        <f>ОБЗР!E14</f>
        <v>0</v>
      </c>
      <c r="AE14" s="7" t="s">
        <v>17</v>
      </c>
      <c r="AF14" s="5">
        <f>Обществознание!E14</f>
        <v>0</v>
      </c>
      <c r="AG14" s="6" t="s">
        <v>17</v>
      </c>
      <c r="AH14" s="3">
        <f>Право!E14</f>
        <v>0</v>
      </c>
      <c r="AI14" s="7" t="s">
        <v>17</v>
      </c>
      <c r="AJ14" s="5">
        <f>Программирование!E14</f>
        <v>0</v>
      </c>
      <c r="AK14" s="6" t="s">
        <v>17</v>
      </c>
      <c r="AL14" s="3">
        <f>Робототехника!E14</f>
        <v>0</v>
      </c>
      <c r="AM14" s="7" t="s">
        <v>17</v>
      </c>
      <c r="AN14" s="5">
        <f>'Русский язык'!E14</f>
        <v>0</v>
      </c>
      <c r="AO14" s="6" t="s">
        <v>17</v>
      </c>
      <c r="AP14" s="3">
        <f>Труд!E14</f>
        <v>0</v>
      </c>
      <c r="AQ14" s="7" t="s">
        <v>17</v>
      </c>
      <c r="AR14" s="5">
        <f>Физ.культура!E14</f>
        <v>0</v>
      </c>
      <c r="AS14" s="6" t="s">
        <v>17</v>
      </c>
      <c r="AT14" s="3">
        <f>Физика!E14</f>
        <v>0</v>
      </c>
      <c r="AU14" s="7" t="s">
        <v>17</v>
      </c>
      <c r="AV14" s="5">
        <f>Фран.язык!E14</f>
        <v>0</v>
      </c>
      <c r="AW14" s="6" t="s">
        <v>17</v>
      </c>
      <c r="AX14" s="3">
        <f>Химия!E14</f>
        <v>0</v>
      </c>
      <c r="AY14" s="7" t="s">
        <v>17</v>
      </c>
      <c r="AZ14" s="5">
        <f>Экология!E14</f>
        <v>0</v>
      </c>
      <c r="BA14" s="6" t="s">
        <v>17</v>
      </c>
      <c r="BB14" s="3">
        <f>Экономика!E14</f>
        <v>0</v>
      </c>
    </row>
    <row r="15" spans="1:54" x14ac:dyDescent="0.25">
      <c r="A15" s="6" t="s">
        <v>18</v>
      </c>
      <c r="B15" s="3">
        <f>'Англ. язык'!E15</f>
        <v>0</v>
      </c>
      <c r="C15" s="7" t="s">
        <v>18</v>
      </c>
      <c r="D15" s="5">
        <f>Астрономия!E15</f>
        <v>0</v>
      </c>
      <c r="E15" s="6" t="s">
        <v>18</v>
      </c>
      <c r="F15" s="3">
        <f>Биология!E15</f>
        <v>0</v>
      </c>
      <c r="G15" s="7" t="s">
        <v>18</v>
      </c>
      <c r="H15" s="5">
        <f>География!E15</f>
        <v>0</v>
      </c>
      <c r="I15" s="6" t="s">
        <v>18</v>
      </c>
      <c r="J15" s="3">
        <f>ИИ!E15</f>
        <v>0</v>
      </c>
      <c r="K15" s="7" t="s">
        <v>18</v>
      </c>
      <c r="L15" s="5">
        <f>Инф.без.!E15</f>
        <v>0</v>
      </c>
      <c r="M15" s="6" t="s">
        <v>18</v>
      </c>
      <c r="N15" s="3">
        <f>Искусство!E15</f>
        <v>0</v>
      </c>
      <c r="O15" s="7" t="s">
        <v>18</v>
      </c>
      <c r="P15" s="5">
        <f>Исп.язык!E15</f>
        <v>0</v>
      </c>
      <c r="Q15" s="6" t="s">
        <v>18</v>
      </c>
      <c r="R15" s="3">
        <f>История!E15</f>
        <v>0</v>
      </c>
      <c r="S15" s="7" t="s">
        <v>18</v>
      </c>
      <c r="T15" s="5">
        <f>Итал.язык!E15</f>
        <v>0</v>
      </c>
      <c r="U15" s="6" t="s">
        <v>18</v>
      </c>
      <c r="V15" s="3">
        <f>Кит.язык!E15</f>
        <v>0</v>
      </c>
      <c r="W15" s="7" t="s">
        <v>18</v>
      </c>
      <c r="X15" s="5">
        <f>Литература!E15</f>
        <v>0</v>
      </c>
      <c r="Y15" s="6" t="s">
        <v>18</v>
      </c>
      <c r="Z15" s="3">
        <f>Математика!E15</f>
        <v>0</v>
      </c>
      <c r="AA15" s="7" t="s">
        <v>18</v>
      </c>
      <c r="AB15" s="5">
        <f>Нем.язык!E15</f>
        <v>0</v>
      </c>
      <c r="AC15" s="6" t="s">
        <v>18</v>
      </c>
      <c r="AD15" s="3">
        <f>ОБЗР!E15</f>
        <v>0</v>
      </c>
      <c r="AE15" s="7" t="s">
        <v>18</v>
      </c>
      <c r="AF15" s="5">
        <f>Обществознание!E15</f>
        <v>0</v>
      </c>
      <c r="AG15" s="6" t="s">
        <v>18</v>
      </c>
      <c r="AH15" s="3">
        <f>Право!E15</f>
        <v>0</v>
      </c>
      <c r="AI15" s="7" t="s">
        <v>18</v>
      </c>
      <c r="AJ15" s="5">
        <f>Программирование!E15</f>
        <v>0</v>
      </c>
      <c r="AK15" s="6" t="s">
        <v>18</v>
      </c>
      <c r="AL15" s="3">
        <f>Робототехника!E15</f>
        <v>0</v>
      </c>
      <c r="AM15" s="7" t="s">
        <v>18</v>
      </c>
      <c r="AN15" s="5">
        <f>'Русский язык'!E15</f>
        <v>0</v>
      </c>
      <c r="AO15" s="6" t="s">
        <v>18</v>
      </c>
      <c r="AP15" s="3">
        <f>Труд!E15</f>
        <v>0</v>
      </c>
      <c r="AQ15" s="7" t="s">
        <v>18</v>
      </c>
      <c r="AR15" s="5">
        <f>Физ.культура!E15</f>
        <v>0</v>
      </c>
      <c r="AS15" s="6" t="s">
        <v>18</v>
      </c>
      <c r="AT15" s="3">
        <f>Физика!E15</f>
        <v>0</v>
      </c>
      <c r="AU15" s="7" t="s">
        <v>18</v>
      </c>
      <c r="AV15" s="5">
        <f>Фран.язык!E15</f>
        <v>0</v>
      </c>
      <c r="AW15" s="6" t="s">
        <v>18</v>
      </c>
      <c r="AX15" s="3">
        <f>Химия!E15</f>
        <v>0</v>
      </c>
      <c r="AY15" s="7" t="s">
        <v>18</v>
      </c>
      <c r="AZ15" s="5">
        <f>Экология!E15</f>
        <v>0</v>
      </c>
      <c r="BA15" s="6" t="s">
        <v>18</v>
      </c>
      <c r="BB15" s="3">
        <f>Экономика!E15</f>
        <v>0</v>
      </c>
    </row>
    <row r="16" spans="1:54" x14ac:dyDescent="0.25">
      <c r="A16" s="6" t="s">
        <v>19</v>
      </c>
      <c r="B16" s="3">
        <f>'Англ. язык'!E16</f>
        <v>0</v>
      </c>
      <c r="C16" s="7" t="s">
        <v>19</v>
      </c>
      <c r="D16" s="5">
        <f>Астрономия!E16</f>
        <v>0</v>
      </c>
      <c r="E16" s="6" t="s">
        <v>19</v>
      </c>
      <c r="F16" s="3">
        <f>Биология!E16</f>
        <v>0</v>
      </c>
      <c r="G16" s="7" t="s">
        <v>19</v>
      </c>
      <c r="H16" s="5">
        <f>География!E16</f>
        <v>0</v>
      </c>
      <c r="I16" s="6" t="s">
        <v>19</v>
      </c>
      <c r="J16" s="3">
        <f>ИИ!E16</f>
        <v>0</v>
      </c>
      <c r="K16" s="7" t="s">
        <v>19</v>
      </c>
      <c r="L16" s="5">
        <f>Инф.без.!E16</f>
        <v>0</v>
      </c>
      <c r="M16" s="6" t="s">
        <v>19</v>
      </c>
      <c r="N16" s="3">
        <f>Искусство!E16</f>
        <v>0</v>
      </c>
      <c r="O16" s="7" t="s">
        <v>19</v>
      </c>
      <c r="P16" s="5">
        <f>Исп.язык!E16</f>
        <v>0</v>
      </c>
      <c r="Q16" s="6" t="s">
        <v>19</v>
      </c>
      <c r="R16" s="3">
        <f>История!E16</f>
        <v>0</v>
      </c>
      <c r="S16" s="7" t="s">
        <v>19</v>
      </c>
      <c r="T16" s="5">
        <f>Итал.язык!E16</f>
        <v>0</v>
      </c>
      <c r="U16" s="6" t="s">
        <v>19</v>
      </c>
      <c r="V16" s="3">
        <f>Кит.язык!E16</f>
        <v>0</v>
      </c>
      <c r="W16" s="7" t="s">
        <v>19</v>
      </c>
      <c r="X16" s="5">
        <f>Литература!E16</f>
        <v>0</v>
      </c>
      <c r="Y16" s="6" t="s">
        <v>19</v>
      </c>
      <c r="Z16" s="3">
        <f>Математика!E16</f>
        <v>0</v>
      </c>
      <c r="AA16" s="7" t="s">
        <v>19</v>
      </c>
      <c r="AB16" s="5">
        <f>Нем.язык!E16</f>
        <v>0</v>
      </c>
      <c r="AC16" s="6" t="s">
        <v>19</v>
      </c>
      <c r="AD16" s="3">
        <f>ОБЗР!E16</f>
        <v>0</v>
      </c>
      <c r="AE16" s="7" t="s">
        <v>19</v>
      </c>
      <c r="AF16" s="5">
        <f>Обществознание!E16</f>
        <v>0</v>
      </c>
      <c r="AG16" s="6" t="s">
        <v>19</v>
      </c>
      <c r="AH16" s="3">
        <f>Право!E16</f>
        <v>0</v>
      </c>
      <c r="AI16" s="7" t="s">
        <v>19</v>
      </c>
      <c r="AJ16" s="5">
        <f>Программирование!E16</f>
        <v>0</v>
      </c>
      <c r="AK16" s="6" t="s">
        <v>19</v>
      </c>
      <c r="AL16" s="3">
        <f>Робототехника!E16</f>
        <v>0</v>
      </c>
      <c r="AM16" s="7" t="s">
        <v>19</v>
      </c>
      <c r="AN16" s="5">
        <f>'Русский язык'!E16</f>
        <v>0</v>
      </c>
      <c r="AO16" s="6" t="s">
        <v>19</v>
      </c>
      <c r="AP16" s="3">
        <f>Труд!E16</f>
        <v>0</v>
      </c>
      <c r="AQ16" s="7" t="s">
        <v>19</v>
      </c>
      <c r="AR16" s="5">
        <f>Физ.культура!E16</f>
        <v>0</v>
      </c>
      <c r="AS16" s="6" t="s">
        <v>19</v>
      </c>
      <c r="AT16" s="3">
        <f>Физика!E16</f>
        <v>0</v>
      </c>
      <c r="AU16" s="7" t="s">
        <v>19</v>
      </c>
      <c r="AV16" s="5">
        <f>Фран.язык!E16</f>
        <v>0</v>
      </c>
      <c r="AW16" s="6" t="s">
        <v>19</v>
      </c>
      <c r="AX16" s="3">
        <f>Химия!E16</f>
        <v>0</v>
      </c>
      <c r="AY16" s="7" t="s">
        <v>19</v>
      </c>
      <c r="AZ16" s="5">
        <f>Экология!E16</f>
        <v>0</v>
      </c>
      <c r="BA16" s="6" t="s">
        <v>19</v>
      </c>
      <c r="BB16" s="3">
        <f>Экономика!E16</f>
        <v>0</v>
      </c>
    </row>
    <row r="17" spans="1:54" x14ac:dyDescent="0.25">
      <c r="A17" s="6" t="s">
        <v>20</v>
      </c>
      <c r="B17" s="3">
        <f>'Англ. язык'!E17</f>
        <v>0</v>
      </c>
      <c r="C17" s="7" t="s">
        <v>20</v>
      </c>
      <c r="D17" s="5">
        <f>Астрономия!E17</f>
        <v>0</v>
      </c>
      <c r="E17" s="6" t="s">
        <v>20</v>
      </c>
      <c r="F17" s="3">
        <f>Биология!E17</f>
        <v>0</v>
      </c>
      <c r="G17" s="7" t="s">
        <v>20</v>
      </c>
      <c r="H17" s="5">
        <f>География!E17</f>
        <v>0</v>
      </c>
      <c r="I17" s="6" t="s">
        <v>20</v>
      </c>
      <c r="J17" s="3">
        <f>ИИ!E17</f>
        <v>0</v>
      </c>
      <c r="K17" s="7" t="s">
        <v>20</v>
      </c>
      <c r="L17" s="5">
        <f>Инф.без.!E17</f>
        <v>0</v>
      </c>
      <c r="M17" s="6" t="s">
        <v>20</v>
      </c>
      <c r="N17" s="3">
        <f>Искусство!E17</f>
        <v>0</v>
      </c>
      <c r="O17" s="7" t="s">
        <v>20</v>
      </c>
      <c r="P17" s="5">
        <f>Исп.язык!E17</f>
        <v>0</v>
      </c>
      <c r="Q17" s="6" t="s">
        <v>20</v>
      </c>
      <c r="R17" s="3">
        <f>История!E17</f>
        <v>0</v>
      </c>
      <c r="S17" s="7" t="s">
        <v>20</v>
      </c>
      <c r="T17" s="5">
        <f>Итал.язык!E17</f>
        <v>0</v>
      </c>
      <c r="U17" s="6" t="s">
        <v>20</v>
      </c>
      <c r="V17" s="3">
        <f>Кит.язык!E17</f>
        <v>0</v>
      </c>
      <c r="W17" s="7" t="s">
        <v>20</v>
      </c>
      <c r="X17" s="5">
        <f>Литература!E17</f>
        <v>0</v>
      </c>
      <c r="Y17" s="6" t="s">
        <v>20</v>
      </c>
      <c r="Z17" s="3">
        <f>Математика!E17</f>
        <v>0</v>
      </c>
      <c r="AA17" s="7" t="s">
        <v>20</v>
      </c>
      <c r="AB17" s="5">
        <f>Нем.язык!E17</f>
        <v>0</v>
      </c>
      <c r="AC17" s="6" t="s">
        <v>20</v>
      </c>
      <c r="AD17" s="3">
        <f>ОБЗР!E17</f>
        <v>0</v>
      </c>
      <c r="AE17" s="7" t="s">
        <v>20</v>
      </c>
      <c r="AF17" s="5">
        <f>Обществознание!E17</f>
        <v>0</v>
      </c>
      <c r="AG17" s="6" t="s">
        <v>20</v>
      </c>
      <c r="AH17" s="3">
        <f>Право!E17</f>
        <v>0</v>
      </c>
      <c r="AI17" s="7" t="s">
        <v>20</v>
      </c>
      <c r="AJ17" s="5">
        <f>Программирование!E17</f>
        <v>0</v>
      </c>
      <c r="AK17" s="6" t="s">
        <v>20</v>
      </c>
      <c r="AL17" s="3">
        <f>Робототехника!E17</f>
        <v>0</v>
      </c>
      <c r="AM17" s="7" t="s">
        <v>20</v>
      </c>
      <c r="AN17" s="5">
        <f>'Русский язык'!E17</f>
        <v>0</v>
      </c>
      <c r="AO17" s="6" t="s">
        <v>20</v>
      </c>
      <c r="AP17" s="3">
        <f>Труд!E17</f>
        <v>0</v>
      </c>
      <c r="AQ17" s="7" t="s">
        <v>20</v>
      </c>
      <c r="AR17" s="5">
        <f>Физ.культура!E17</f>
        <v>0</v>
      </c>
      <c r="AS17" s="6" t="s">
        <v>20</v>
      </c>
      <c r="AT17" s="3">
        <f>Физика!E17</f>
        <v>0</v>
      </c>
      <c r="AU17" s="7" t="s">
        <v>20</v>
      </c>
      <c r="AV17" s="5">
        <f>Фран.язык!E17</f>
        <v>0</v>
      </c>
      <c r="AW17" s="6" t="s">
        <v>20</v>
      </c>
      <c r="AX17" s="3">
        <f>Химия!E17</f>
        <v>0</v>
      </c>
      <c r="AY17" s="7" t="s">
        <v>20</v>
      </c>
      <c r="AZ17" s="5">
        <f>Экология!E17</f>
        <v>0</v>
      </c>
      <c r="BA17" s="6" t="s">
        <v>20</v>
      </c>
      <c r="BB17" s="3">
        <f>Экономика!E17</f>
        <v>0</v>
      </c>
    </row>
    <row r="18" spans="1:54" x14ac:dyDescent="0.25">
      <c r="A18" s="6" t="s">
        <v>21</v>
      </c>
      <c r="B18" s="3">
        <f>'Англ. язык'!E18</f>
        <v>0</v>
      </c>
      <c r="C18" s="7" t="s">
        <v>21</v>
      </c>
      <c r="D18" s="5">
        <f>Астрономия!E18</f>
        <v>0</v>
      </c>
      <c r="E18" s="6" t="s">
        <v>21</v>
      </c>
      <c r="F18" s="3">
        <f>Биология!E18</f>
        <v>0</v>
      </c>
      <c r="G18" s="7" t="s">
        <v>21</v>
      </c>
      <c r="H18" s="5">
        <f>География!E18</f>
        <v>0</v>
      </c>
      <c r="I18" s="6" t="s">
        <v>21</v>
      </c>
      <c r="J18" s="3">
        <f>ИИ!E18</f>
        <v>0</v>
      </c>
      <c r="K18" s="7" t="s">
        <v>21</v>
      </c>
      <c r="L18" s="5">
        <f>Инф.без.!E18</f>
        <v>0</v>
      </c>
      <c r="M18" s="6" t="s">
        <v>21</v>
      </c>
      <c r="N18" s="3">
        <f>Искусство!E18</f>
        <v>0</v>
      </c>
      <c r="O18" s="7" t="s">
        <v>21</v>
      </c>
      <c r="P18" s="5">
        <f>Исп.язык!E18</f>
        <v>0</v>
      </c>
      <c r="Q18" s="6" t="s">
        <v>21</v>
      </c>
      <c r="R18" s="3">
        <f>История!E18</f>
        <v>0</v>
      </c>
      <c r="S18" s="7" t="s">
        <v>21</v>
      </c>
      <c r="T18" s="5">
        <f>Итал.язык!E18</f>
        <v>0</v>
      </c>
      <c r="U18" s="6" t="s">
        <v>21</v>
      </c>
      <c r="V18" s="3">
        <f>Кит.язык!E18</f>
        <v>0</v>
      </c>
      <c r="W18" s="7" t="s">
        <v>21</v>
      </c>
      <c r="X18" s="5">
        <f>Литература!E18</f>
        <v>0</v>
      </c>
      <c r="Y18" s="6" t="s">
        <v>21</v>
      </c>
      <c r="Z18" s="3">
        <f>Математика!E18</f>
        <v>0</v>
      </c>
      <c r="AA18" s="7" t="s">
        <v>21</v>
      </c>
      <c r="AB18" s="5">
        <f>Нем.язык!E18</f>
        <v>0</v>
      </c>
      <c r="AC18" s="6" t="s">
        <v>21</v>
      </c>
      <c r="AD18" s="3">
        <f>ОБЗР!E18</f>
        <v>0</v>
      </c>
      <c r="AE18" s="7" t="s">
        <v>21</v>
      </c>
      <c r="AF18" s="5">
        <f>Обществознание!E18</f>
        <v>0</v>
      </c>
      <c r="AG18" s="6" t="s">
        <v>21</v>
      </c>
      <c r="AH18" s="3">
        <f>Право!E18</f>
        <v>0</v>
      </c>
      <c r="AI18" s="7" t="s">
        <v>21</v>
      </c>
      <c r="AJ18" s="5">
        <f>Программирование!E18</f>
        <v>0</v>
      </c>
      <c r="AK18" s="6" t="s">
        <v>21</v>
      </c>
      <c r="AL18" s="3">
        <f>Робототехника!E18</f>
        <v>0</v>
      </c>
      <c r="AM18" s="7" t="s">
        <v>21</v>
      </c>
      <c r="AN18" s="5">
        <f>'Русский язык'!E18</f>
        <v>0</v>
      </c>
      <c r="AO18" s="6" t="s">
        <v>21</v>
      </c>
      <c r="AP18" s="3">
        <f>Труд!E18</f>
        <v>0</v>
      </c>
      <c r="AQ18" s="7" t="s">
        <v>21</v>
      </c>
      <c r="AR18" s="5">
        <f>Физ.культура!E18</f>
        <v>0</v>
      </c>
      <c r="AS18" s="6" t="s">
        <v>21</v>
      </c>
      <c r="AT18" s="3">
        <f>Физика!E18</f>
        <v>0</v>
      </c>
      <c r="AU18" s="7" t="s">
        <v>21</v>
      </c>
      <c r="AV18" s="5">
        <f>Фран.язык!E18</f>
        <v>0</v>
      </c>
      <c r="AW18" s="6" t="s">
        <v>21</v>
      </c>
      <c r="AX18" s="3">
        <f>Химия!E18</f>
        <v>0</v>
      </c>
      <c r="AY18" s="7" t="s">
        <v>21</v>
      </c>
      <c r="AZ18" s="5">
        <f>Экология!E18</f>
        <v>0</v>
      </c>
      <c r="BA18" s="6" t="s">
        <v>21</v>
      </c>
      <c r="BB18" s="3">
        <f>Экономика!E18</f>
        <v>0</v>
      </c>
    </row>
    <row r="19" spans="1:54" x14ac:dyDescent="0.25">
      <c r="A19" s="6" t="s">
        <v>22</v>
      </c>
      <c r="B19" s="3">
        <f>'Англ. язык'!E19</f>
        <v>0</v>
      </c>
      <c r="C19" s="7" t="s">
        <v>22</v>
      </c>
      <c r="D19" s="5">
        <f>Астрономия!E19</f>
        <v>0</v>
      </c>
      <c r="E19" s="6" t="s">
        <v>22</v>
      </c>
      <c r="F19" s="3">
        <f>Биология!E19</f>
        <v>0</v>
      </c>
      <c r="G19" s="7" t="s">
        <v>22</v>
      </c>
      <c r="H19" s="5">
        <f>География!E19</f>
        <v>0</v>
      </c>
      <c r="I19" s="6" t="s">
        <v>22</v>
      </c>
      <c r="J19" s="3">
        <f>ИИ!E19</f>
        <v>0</v>
      </c>
      <c r="K19" s="7" t="s">
        <v>22</v>
      </c>
      <c r="L19" s="5">
        <f>Инф.без.!E19</f>
        <v>0</v>
      </c>
      <c r="M19" s="6" t="s">
        <v>22</v>
      </c>
      <c r="N19" s="3">
        <f>Искусство!E19</f>
        <v>0</v>
      </c>
      <c r="O19" s="7" t="s">
        <v>22</v>
      </c>
      <c r="P19" s="5">
        <f>Исп.язык!E19</f>
        <v>0</v>
      </c>
      <c r="Q19" s="6" t="s">
        <v>22</v>
      </c>
      <c r="R19" s="3">
        <f>История!E19</f>
        <v>0</v>
      </c>
      <c r="S19" s="7" t="s">
        <v>22</v>
      </c>
      <c r="T19" s="5">
        <f>Итал.язык!E19</f>
        <v>0</v>
      </c>
      <c r="U19" s="6" t="s">
        <v>22</v>
      </c>
      <c r="V19" s="3">
        <f>Кит.язык!E19</f>
        <v>0</v>
      </c>
      <c r="W19" s="7" t="s">
        <v>22</v>
      </c>
      <c r="X19" s="5">
        <f>Литература!E19</f>
        <v>0</v>
      </c>
      <c r="Y19" s="6" t="s">
        <v>22</v>
      </c>
      <c r="Z19" s="3">
        <f>Математика!E19</f>
        <v>0</v>
      </c>
      <c r="AA19" s="7" t="s">
        <v>22</v>
      </c>
      <c r="AB19" s="5">
        <f>Нем.язык!E19</f>
        <v>0</v>
      </c>
      <c r="AC19" s="6" t="s">
        <v>22</v>
      </c>
      <c r="AD19" s="3">
        <f>ОБЗР!E19</f>
        <v>0</v>
      </c>
      <c r="AE19" s="7" t="s">
        <v>22</v>
      </c>
      <c r="AF19" s="5">
        <f>Обществознание!E19</f>
        <v>0</v>
      </c>
      <c r="AG19" s="6" t="s">
        <v>22</v>
      </c>
      <c r="AH19" s="3">
        <f>Право!E19</f>
        <v>0</v>
      </c>
      <c r="AI19" s="7" t="s">
        <v>22</v>
      </c>
      <c r="AJ19" s="5">
        <f>Программирование!E19</f>
        <v>0</v>
      </c>
      <c r="AK19" s="6" t="s">
        <v>22</v>
      </c>
      <c r="AL19" s="3">
        <f>Робототехника!E19</f>
        <v>0</v>
      </c>
      <c r="AM19" s="7" t="s">
        <v>22</v>
      </c>
      <c r="AN19" s="5">
        <f>'Русский язык'!E19</f>
        <v>0</v>
      </c>
      <c r="AO19" s="6" t="s">
        <v>22</v>
      </c>
      <c r="AP19" s="3">
        <f>Труд!E19</f>
        <v>0</v>
      </c>
      <c r="AQ19" s="7" t="s">
        <v>22</v>
      </c>
      <c r="AR19" s="5">
        <f>Физ.культура!E19</f>
        <v>0</v>
      </c>
      <c r="AS19" s="6" t="s">
        <v>22</v>
      </c>
      <c r="AT19" s="3">
        <f>Физика!E19</f>
        <v>0</v>
      </c>
      <c r="AU19" s="7" t="s">
        <v>22</v>
      </c>
      <c r="AV19" s="5">
        <f>Фран.язык!E19</f>
        <v>0</v>
      </c>
      <c r="AW19" s="6" t="s">
        <v>22</v>
      </c>
      <c r="AX19" s="3">
        <f>Химия!E19</f>
        <v>0</v>
      </c>
      <c r="AY19" s="7" t="s">
        <v>22</v>
      </c>
      <c r="AZ19" s="5">
        <f>Экология!E19</f>
        <v>0</v>
      </c>
      <c r="BA19" s="6" t="s">
        <v>22</v>
      </c>
      <c r="BB19" s="3">
        <f>Экономика!E19</f>
        <v>0</v>
      </c>
    </row>
    <row r="20" spans="1:54" x14ac:dyDescent="0.25">
      <c r="A20" s="6" t="s">
        <v>23</v>
      </c>
      <c r="B20" s="3">
        <f>'Англ. язык'!E20</f>
        <v>0</v>
      </c>
      <c r="C20" s="7" t="s">
        <v>23</v>
      </c>
      <c r="D20" s="5">
        <f>Астрономия!E20</f>
        <v>0</v>
      </c>
      <c r="E20" s="6" t="s">
        <v>23</v>
      </c>
      <c r="F20" s="3">
        <f>Биология!E20</f>
        <v>0</v>
      </c>
      <c r="G20" s="7" t="s">
        <v>23</v>
      </c>
      <c r="H20" s="5">
        <f>География!E20</f>
        <v>0</v>
      </c>
      <c r="I20" s="6" t="s">
        <v>23</v>
      </c>
      <c r="J20" s="3">
        <f>ИИ!E20</f>
        <v>0</v>
      </c>
      <c r="K20" s="7" t="s">
        <v>23</v>
      </c>
      <c r="L20" s="5">
        <f>Инф.без.!E20</f>
        <v>0</v>
      </c>
      <c r="M20" s="6" t="s">
        <v>23</v>
      </c>
      <c r="N20" s="3">
        <f>Искусство!E20</f>
        <v>0</v>
      </c>
      <c r="O20" s="7" t="s">
        <v>23</v>
      </c>
      <c r="P20" s="5">
        <f>Исп.язык!E20</f>
        <v>0</v>
      </c>
      <c r="Q20" s="6" t="s">
        <v>23</v>
      </c>
      <c r="R20" s="3">
        <f>История!E20</f>
        <v>0</v>
      </c>
      <c r="S20" s="7" t="s">
        <v>23</v>
      </c>
      <c r="T20" s="5">
        <f>Итал.язык!E20</f>
        <v>0</v>
      </c>
      <c r="U20" s="6" t="s">
        <v>23</v>
      </c>
      <c r="V20" s="3">
        <f>Кит.язык!E20</f>
        <v>0</v>
      </c>
      <c r="W20" s="7" t="s">
        <v>23</v>
      </c>
      <c r="X20" s="5">
        <f>Литература!E20</f>
        <v>0</v>
      </c>
      <c r="Y20" s="6" t="s">
        <v>23</v>
      </c>
      <c r="Z20" s="3">
        <f>Математика!E20</f>
        <v>0</v>
      </c>
      <c r="AA20" s="7" t="s">
        <v>23</v>
      </c>
      <c r="AB20" s="5">
        <f>Нем.язык!E20</f>
        <v>0</v>
      </c>
      <c r="AC20" s="6" t="s">
        <v>23</v>
      </c>
      <c r="AD20" s="3">
        <f>ОБЗР!E20</f>
        <v>0</v>
      </c>
      <c r="AE20" s="7" t="s">
        <v>23</v>
      </c>
      <c r="AF20" s="5">
        <f>Обществознание!E20</f>
        <v>0</v>
      </c>
      <c r="AG20" s="6" t="s">
        <v>23</v>
      </c>
      <c r="AH20" s="3">
        <f>Право!E20</f>
        <v>0</v>
      </c>
      <c r="AI20" s="7" t="s">
        <v>23</v>
      </c>
      <c r="AJ20" s="5">
        <f>Программирование!E20</f>
        <v>0</v>
      </c>
      <c r="AK20" s="6" t="s">
        <v>23</v>
      </c>
      <c r="AL20" s="3">
        <f>Робототехника!E20</f>
        <v>0</v>
      </c>
      <c r="AM20" s="7" t="s">
        <v>23</v>
      </c>
      <c r="AN20" s="5">
        <f>'Русский язык'!E20</f>
        <v>0</v>
      </c>
      <c r="AO20" s="6" t="s">
        <v>23</v>
      </c>
      <c r="AP20" s="3">
        <f>Труд!E20</f>
        <v>0</v>
      </c>
      <c r="AQ20" s="7" t="s">
        <v>23</v>
      </c>
      <c r="AR20" s="5">
        <f>Физ.культура!E20</f>
        <v>0</v>
      </c>
      <c r="AS20" s="6" t="s">
        <v>23</v>
      </c>
      <c r="AT20" s="3">
        <f>Физика!E20</f>
        <v>0</v>
      </c>
      <c r="AU20" s="7" t="s">
        <v>23</v>
      </c>
      <c r="AV20" s="5">
        <f>Фран.язык!E20</f>
        <v>0</v>
      </c>
      <c r="AW20" s="6" t="s">
        <v>23</v>
      </c>
      <c r="AX20" s="3">
        <f>Химия!E20</f>
        <v>0</v>
      </c>
      <c r="AY20" s="7" t="s">
        <v>23</v>
      </c>
      <c r="AZ20" s="5">
        <f>Экология!E20</f>
        <v>0</v>
      </c>
      <c r="BA20" s="6" t="s">
        <v>23</v>
      </c>
      <c r="BB20" s="3">
        <f>Экономика!E20</f>
        <v>0</v>
      </c>
    </row>
    <row r="21" spans="1:54" x14ac:dyDescent="0.25">
      <c r="A21" s="6" t="s">
        <v>24</v>
      </c>
      <c r="B21" s="3">
        <f>'Англ. язык'!E21</f>
        <v>0</v>
      </c>
      <c r="C21" s="7" t="s">
        <v>24</v>
      </c>
      <c r="D21" s="5">
        <f>Астрономия!E21</f>
        <v>0</v>
      </c>
      <c r="E21" s="6" t="s">
        <v>24</v>
      </c>
      <c r="F21" s="3">
        <f>Биология!E21</f>
        <v>0</v>
      </c>
      <c r="G21" s="7" t="s">
        <v>24</v>
      </c>
      <c r="H21" s="5">
        <f>География!E21</f>
        <v>0</v>
      </c>
      <c r="I21" s="6" t="s">
        <v>24</v>
      </c>
      <c r="J21" s="3">
        <f>ИИ!E21</f>
        <v>0</v>
      </c>
      <c r="K21" s="7" t="s">
        <v>24</v>
      </c>
      <c r="L21" s="5">
        <f>Инф.без.!E21</f>
        <v>0</v>
      </c>
      <c r="M21" s="6" t="s">
        <v>24</v>
      </c>
      <c r="N21" s="3">
        <f>Искусство!E21</f>
        <v>0</v>
      </c>
      <c r="O21" s="7" t="s">
        <v>24</v>
      </c>
      <c r="P21" s="5">
        <f>Исп.язык!E21</f>
        <v>0</v>
      </c>
      <c r="Q21" s="6" t="s">
        <v>24</v>
      </c>
      <c r="R21" s="3">
        <f>История!E21</f>
        <v>0</v>
      </c>
      <c r="S21" s="7" t="s">
        <v>24</v>
      </c>
      <c r="T21" s="5">
        <f>Итал.язык!E21</f>
        <v>0</v>
      </c>
      <c r="U21" s="6" t="s">
        <v>24</v>
      </c>
      <c r="V21" s="3">
        <f>Кит.язык!E21</f>
        <v>0</v>
      </c>
      <c r="W21" s="7" t="s">
        <v>24</v>
      </c>
      <c r="X21" s="5">
        <f>Литература!E21</f>
        <v>0</v>
      </c>
      <c r="Y21" s="6" t="s">
        <v>24</v>
      </c>
      <c r="Z21" s="3">
        <f>Математика!E21</f>
        <v>0</v>
      </c>
      <c r="AA21" s="7" t="s">
        <v>24</v>
      </c>
      <c r="AB21" s="5">
        <f>Нем.язык!E21</f>
        <v>0</v>
      </c>
      <c r="AC21" s="6" t="s">
        <v>24</v>
      </c>
      <c r="AD21" s="3">
        <f>ОБЗР!E21</f>
        <v>0</v>
      </c>
      <c r="AE21" s="7" t="s">
        <v>24</v>
      </c>
      <c r="AF21" s="5">
        <f>Обществознание!E21</f>
        <v>0</v>
      </c>
      <c r="AG21" s="6" t="s">
        <v>24</v>
      </c>
      <c r="AH21" s="3">
        <f>Право!E21</f>
        <v>0</v>
      </c>
      <c r="AI21" s="7" t="s">
        <v>24</v>
      </c>
      <c r="AJ21" s="5">
        <f>Программирование!E21</f>
        <v>0</v>
      </c>
      <c r="AK21" s="6" t="s">
        <v>24</v>
      </c>
      <c r="AL21" s="3">
        <f>Робототехника!E21</f>
        <v>0</v>
      </c>
      <c r="AM21" s="7" t="s">
        <v>24</v>
      </c>
      <c r="AN21" s="5">
        <f>'Русский язык'!E21</f>
        <v>0</v>
      </c>
      <c r="AO21" s="6" t="s">
        <v>24</v>
      </c>
      <c r="AP21" s="3">
        <f>Труд!E21</f>
        <v>0</v>
      </c>
      <c r="AQ21" s="7" t="s">
        <v>24</v>
      </c>
      <c r="AR21" s="5">
        <f>Физ.культура!E21</f>
        <v>0</v>
      </c>
      <c r="AS21" s="6" t="s">
        <v>24</v>
      </c>
      <c r="AT21" s="3">
        <f>Физика!E21</f>
        <v>0</v>
      </c>
      <c r="AU21" s="7" t="s">
        <v>24</v>
      </c>
      <c r="AV21" s="5">
        <f>Фран.язык!E21</f>
        <v>0</v>
      </c>
      <c r="AW21" s="6" t="s">
        <v>24</v>
      </c>
      <c r="AX21" s="3">
        <f>Химия!E21</f>
        <v>0</v>
      </c>
      <c r="AY21" s="7" t="s">
        <v>24</v>
      </c>
      <c r="AZ21" s="5">
        <f>Экология!E21</f>
        <v>0</v>
      </c>
      <c r="BA21" s="6" t="s">
        <v>24</v>
      </c>
      <c r="BB21" s="3">
        <f>Экономика!E21</f>
        <v>0</v>
      </c>
    </row>
    <row r="22" spans="1:54" x14ac:dyDescent="0.25">
      <c r="A22" s="6" t="s">
        <v>25</v>
      </c>
      <c r="B22" s="3">
        <f>'Англ. язык'!E22</f>
        <v>0</v>
      </c>
      <c r="C22" s="7" t="s">
        <v>25</v>
      </c>
      <c r="D22" s="5">
        <f>Астрономия!E22</f>
        <v>0</v>
      </c>
      <c r="E22" s="6" t="s">
        <v>25</v>
      </c>
      <c r="F22" s="3">
        <f>Биология!E22</f>
        <v>0</v>
      </c>
      <c r="G22" s="7" t="s">
        <v>25</v>
      </c>
      <c r="H22" s="5">
        <f>География!E22</f>
        <v>0</v>
      </c>
      <c r="I22" s="6" t="s">
        <v>25</v>
      </c>
      <c r="J22" s="3">
        <f>ИИ!E22</f>
        <v>0</v>
      </c>
      <c r="K22" s="7" t="s">
        <v>25</v>
      </c>
      <c r="L22" s="5">
        <f>Инф.без.!E22</f>
        <v>0</v>
      </c>
      <c r="M22" s="6" t="s">
        <v>25</v>
      </c>
      <c r="N22" s="3">
        <f>Искусство!E22</f>
        <v>0</v>
      </c>
      <c r="O22" s="7" t="s">
        <v>25</v>
      </c>
      <c r="P22" s="5">
        <f>Исп.язык!E22</f>
        <v>0</v>
      </c>
      <c r="Q22" s="6" t="s">
        <v>25</v>
      </c>
      <c r="R22" s="3">
        <f>История!E22</f>
        <v>0</v>
      </c>
      <c r="S22" s="7" t="s">
        <v>25</v>
      </c>
      <c r="T22" s="5">
        <f>Итал.язык!E22</f>
        <v>0</v>
      </c>
      <c r="U22" s="6" t="s">
        <v>25</v>
      </c>
      <c r="V22" s="3">
        <f>Кит.язык!E22</f>
        <v>0</v>
      </c>
      <c r="W22" s="7" t="s">
        <v>25</v>
      </c>
      <c r="X22" s="5">
        <f>Литература!E22</f>
        <v>0</v>
      </c>
      <c r="Y22" s="6" t="s">
        <v>25</v>
      </c>
      <c r="Z22" s="3">
        <f>Математика!E22</f>
        <v>0</v>
      </c>
      <c r="AA22" s="7" t="s">
        <v>25</v>
      </c>
      <c r="AB22" s="5">
        <f>Нем.язык!E22</f>
        <v>0</v>
      </c>
      <c r="AC22" s="6" t="s">
        <v>25</v>
      </c>
      <c r="AD22" s="3">
        <f>ОБЗР!E22</f>
        <v>0</v>
      </c>
      <c r="AE22" s="7" t="s">
        <v>25</v>
      </c>
      <c r="AF22" s="5">
        <f>Обществознание!E22</f>
        <v>0</v>
      </c>
      <c r="AG22" s="6" t="s">
        <v>25</v>
      </c>
      <c r="AH22" s="3">
        <f>Право!E22</f>
        <v>0</v>
      </c>
      <c r="AI22" s="7" t="s">
        <v>25</v>
      </c>
      <c r="AJ22" s="5">
        <f>Программирование!E22</f>
        <v>0</v>
      </c>
      <c r="AK22" s="6" t="s">
        <v>25</v>
      </c>
      <c r="AL22" s="3">
        <f>Робототехника!E22</f>
        <v>0</v>
      </c>
      <c r="AM22" s="7" t="s">
        <v>25</v>
      </c>
      <c r="AN22" s="5">
        <f>'Русский язык'!E22</f>
        <v>0</v>
      </c>
      <c r="AO22" s="6" t="s">
        <v>25</v>
      </c>
      <c r="AP22" s="3">
        <f>Труд!E22</f>
        <v>0</v>
      </c>
      <c r="AQ22" s="7" t="s">
        <v>25</v>
      </c>
      <c r="AR22" s="5">
        <f>Физ.культура!E22</f>
        <v>0</v>
      </c>
      <c r="AS22" s="6" t="s">
        <v>25</v>
      </c>
      <c r="AT22" s="3">
        <f>Физика!E22</f>
        <v>0</v>
      </c>
      <c r="AU22" s="7" t="s">
        <v>25</v>
      </c>
      <c r="AV22" s="5">
        <f>Фран.язык!E22</f>
        <v>0</v>
      </c>
      <c r="AW22" s="6" t="s">
        <v>25</v>
      </c>
      <c r="AX22" s="3">
        <f>Химия!E22</f>
        <v>0</v>
      </c>
      <c r="AY22" s="7" t="s">
        <v>25</v>
      </c>
      <c r="AZ22" s="5">
        <f>Экология!E22</f>
        <v>0</v>
      </c>
      <c r="BA22" s="6" t="s">
        <v>25</v>
      </c>
      <c r="BB22" s="3">
        <f>Экономика!E22</f>
        <v>0</v>
      </c>
    </row>
    <row r="23" spans="1:54" x14ac:dyDescent="0.25">
      <c r="A23" s="6" t="s">
        <v>26</v>
      </c>
      <c r="B23" s="3">
        <f>'Англ. язык'!E23</f>
        <v>0</v>
      </c>
      <c r="C23" s="7" t="s">
        <v>26</v>
      </c>
      <c r="D23" s="5">
        <f>Астрономия!E23</f>
        <v>0</v>
      </c>
      <c r="E23" s="6" t="s">
        <v>26</v>
      </c>
      <c r="F23" s="3">
        <f>Биология!E23</f>
        <v>0</v>
      </c>
      <c r="G23" s="7" t="s">
        <v>26</v>
      </c>
      <c r="H23" s="5">
        <f>География!E23</f>
        <v>0</v>
      </c>
      <c r="I23" s="6" t="s">
        <v>26</v>
      </c>
      <c r="J23" s="3">
        <f>ИИ!E23</f>
        <v>0</v>
      </c>
      <c r="K23" s="7" t="s">
        <v>26</v>
      </c>
      <c r="L23" s="5">
        <f>Инф.без.!E23</f>
        <v>0</v>
      </c>
      <c r="M23" s="6" t="s">
        <v>26</v>
      </c>
      <c r="N23" s="3">
        <f>Искусство!E23</f>
        <v>0</v>
      </c>
      <c r="O23" s="7" t="s">
        <v>26</v>
      </c>
      <c r="P23" s="5">
        <f>Исп.язык!E23</f>
        <v>0</v>
      </c>
      <c r="Q23" s="6" t="s">
        <v>26</v>
      </c>
      <c r="R23" s="3">
        <f>История!E23</f>
        <v>0</v>
      </c>
      <c r="S23" s="7" t="s">
        <v>26</v>
      </c>
      <c r="T23" s="5">
        <f>Итал.язык!E23</f>
        <v>0</v>
      </c>
      <c r="U23" s="6" t="s">
        <v>26</v>
      </c>
      <c r="V23" s="3">
        <f>Кит.язык!E23</f>
        <v>0</v>
      </c>
      <c r="W23" s="7" t="s">
        <v>26</v>
      </c>
      <c r="X23" s="5">
        <f>Литература!E23</f>
        <v>0</v>
      </c>
      <c r="Y23" s="6" t="s">
        <v>26</v>
      </c>
      <c r="Z23" s="3">
        <f>Математика!E23</f>
        <v>0</v>
      </c>
      <c r="AA23" s="7" t="s">
        <v>26</v>
      </c>
      <c r="AB23" s="5">
        <f>Нем.язык!E23</f>
        <v>0</v>
      </c>
      <c r="AC23" s="6" t="s">
        <v>26</v>
      </c>
      <c r="AD23" s="3">
        <f>ОБЗР!E23</f>
        <v>0</v>
      </c>
      <c r="AE23" s="7" t="s">
        <v>26</v>
      </c>
      <c r="AF23" s="5">
        <f>Обществознание!E23</f>
        <v>0</v>
      </c>
      <c r="AG23" s="6" t="s">
        <v>26</v>
      </c>
      <c r="AH23" s="3">
        <f>Право!E23</f>
        <v>0</v>
      </c>
      <c r="AI23" s="7" t="s">
        <v>26</v>
      </c>
      <c r="AJ23" s="5">
        <f>Программирование!E23</f>
        <v>0</v>
      </c>
      <c r="AK23" s="6" t="s">
        <v>26</v>
      </c>
      <c r="AL23" s="3">
        <f>Робототехника!E23</f>
        <v>0</v>
      </c>
      <c r="AM23" s="7" t="s">
        <v>26</v>
      </c>
      <c r="AN23" s="5">
        <f>'Русский язык'!E23</f>
        <v>0</v>
      </c>
      <c r="AO23" s="6" t="s">
        <v>26</v>
      </c>
      <c r="AP23" s="3">
        <f>Труд!E23</f>
        <v>0</v>
      </c>
      <c r="AQ23" s="7" t="s">
        <v>26</v>
      </c>
      <c r="AR23" s="5">
        <f>Физ.культура!E23</f>
        <v>0</v>
      </c>
      <c r="AS23" s="6" t="s">
        <v>26</v>
      </c>
      <c r="AT23" s="3">
        <f>Физика!E23</f>
        <v>0</v>
      </c>
      <c r="AU23" s="7" t="s">
        <v>26</v>
      </c>
      <c r="AV23" s="5">
        <f>Фран.язык!E23</f>
        <v>0</v>
      </c>
      <c r="AW23" s="6" t="s">
        <v>26</v>
      </c>
      <c r="AX23" s="3">
        <f>Химия!E23</f>
        <v>0</v>
      </c>
      <c r="AY23" s="7" t="s">
        <v>26</v>
      </c>
      <c r="AZ23" s="5">
        <f>Экология!E23</f>
        <v>0</v>
      </c>
      <c r="BA23" s="6" t="s">
        <v>26</v>
      </c>
      <c r="BB23" s="3">
        <f>Экономика!E23</f>
        <v>0</v>
      </c>
    </row>
    <row r="24" spans="1:54" x14ac:dyDescent="0.25">
      <c r="A24" s="6" t="s">
        <v>27</v>
      </c>
      <c r="B24" s="3">
        <f>'Англ. язык'!E24</f>
        <v>0</v>
      </c>
      <c r="C24" s="7" t="s">
        <v>27</v>
      </c>
      <c r="D24" s="5">
        <f>Астрономия!E24</f>
        <v>0</v>
      </c>
      <c r="E24" s="6" t="s">
        <v>27</v>
      </c>
      <c r="F24" s="3">
        <f>Биология!E24</f>
        <v>0</v>
      </c>
      <c r="G24" s="7" t="s">
        <v>27</v>
      </c>
      <c r="H24" s="5">
        <f>География!E24</f>
        <v>0</v>
      </c>
      <c r="I24" s="6" t="s">
        <v>27</v>
      </c>
      <c r="J24" s="3">
        <f>ИИ!E24</f>
        <v>0</v>
      </c>
      <c r="K24" s="7" t="s">
        <v>27</v>
      </c>
      <c r="L24" s="5">
        <f>Инф.без.!E24</f>
        <v>0</v>
      </c>
      <c r="M24" s="6" t="s">
        <v>27</v>
      </c>
      <c r="N24" s="3">
        <f>Искусство!E24</f>
        <v>0</v>
      </c>
      <c r="O24" s="7" t="s">
        <v>27</v>
      </c>
      <c r="P24" s="5">
        <f>Исп.язык!E24</f>
        <v>0</v>
      </c>
      <c r="Q24" s="6" t="s">
        <v>27</v>
      </c>
      <c r="R24" s="3">
        <f>История!E24</f>
        <v>0</v>
      </c>
      <c r="S24" s="7" t="s">
        <v>27</v>
      </c>
      <c r="T24" s="5">
        <f>Итал.язык!E24</f>
        <v>0</v>
      </c>
      <c r="U24" s="6" t="s">
        <v>27</v>
      </c>
      <c r="V24" s="3">
        <f>Кит.язык!E24</f>
        <v>0</v>
      </c>
      <c r="W24" s="7" t="s">
        <v>27</v>
      </c>
      <c r="X24" s="5">
        <f>Литература!E24</f>
        <v>0</v>
      </c>
      <c r="Y24" s="6" t="s">
        <v>27</v>
      </c>
      <c r="Z24" s="3">
        <f>Математика!E24</f>
        <v>0</v>
      </c>
      <c r="AA24" s="7" t="s">
        <v>27</v>
      </c>
      <c r="AB24" s="5">
        <f>Нем.язык!E24</f>
        <v>0</v>
      </c>
      <c r="AC24" s="6" t="s">
        <v>27</v>
      </c>
      <c r="AD24" s="3">
        <f>ОБЗР!E24</f>
        <v>0</v>
      </c>
      <c r="AE24" s="7" t="s">
        <v>27</v>
      </c>
      <c r="AF24" s="5">
        <f>Обществознание!E24</f>
        <v>0</v>
      </c>
      <c r="AG24" s="6" t="s">
        <v>27</v>
      </c>
      <c r="AH24" s="3">
        <f>Право!E24</f>
        <v>0</v>
      </c>
      <c r="AI24" s="7" t="s">
        <v>27</v>
      </c>
      <c r="AJ24" s="5">
        <f>Программирование!E24</f>
        <v>0</v>
      </c>
      <c r="AK24" s="6" t="s">
        <v>27</v>
      </c>
      <c r="AL24" s="3">
        <f>Робототехника!E24</f>
        <v>0</v>
      </c>
      <c r="AM24" s="7" t="s">
        <v>27</v>
      </c>
      <c r="AN24" s="5">
        <f>'Русский язык'!E24</f>
        <v>0</v>
      </c>
      <c r="AO24" s="6" t="s">
        <v>27</v>
      </c>
      <c r="AP24" s="3">
        <f>Труд!E24</f>
        <v>0</v>
      </c>
      <c r="AQ24" s="7" t="s">
        <v>27</v>
      </c>
      <c r="AR24" s="5">
        <f>Физ.культура!E24</f>
        <v>0</v>
      </c>
      <c r="AS24" s="6" t="s">
        <v>27</v>
      </c>
      <c r="AT24" s="3">
        <f>Физика!E24</f>
        <v>0</v>
      </c>
      <c r="AU24" s="7" t="s">
        <v>27</v>
      </c>
      <c r="AV24" s="5">
        <f>Фран.язык!E24</f>
        <v>0</v>
      </c>
      <c r="AW24" s="6" t="s">
        <v>27</v>
      </c>
      <c r="AX24" s="3">
        <f>Химия!E24</f>
        <v>0</v>
      </c>
      <c r="AY24" s="7" t="s">
        <v>27</v>
      </c>
      <c r="AZ24" s="5">
        <f>Экология!E24</f>
        <v>0</v>
      </c>
      <c r="BA24" s="6" t="s">
        <v>27</v>
      </c>
      <c r="BB24" s="3">
        <f>Экономика!E24</f>
        <v>0</v>
      </c>
    </row>
    <row r="25" spans="1:54" x14ac:dyDescent="0.25">
      <c r="A25" s="6" t="s">
        <v>28</v>
      </c>
      <c r="B25" s="3">
        <f>'Англ. язык'!E25</f>
        <v>0</v>
      </c>
      <c r="C25" s="7" t="s">
        <v>28</v>
      </c>
      <c r="D25" s="5">
        <f>Астрономия!E25</f>
        <v>0</v>
      </c>
      <c r="E25" s="6" t="s">
        <v>28</v>
      </c>
      <c r="F25" s="3">
        <f>Биология!E25</f>
        <v>0</v>
      </c>
      <c r="G25" s="7" t="s">
        <v>28</v>
      </c>
      <c r="H25" s="5">
        <f>География!E25</f>
        <v>0</v>
      </c>
      <c r="I25" s="6" t="s">
        <v>28</v>
      </c>
      <c r="J25" s="3">
        <f>ИИ!E25</f>
        <v>0</v>
      </c>
      <c r="K25" s="7" t="s">
        <v>28</v>
      </c>
      <c r="L25" s="5">
        <f>Инф.без.!E25</f>
        <v>0</v>
      </c>
      <c r="M25" s="6" t="s">
        <v>28</v>
      </c>
      <c r="N25" s="3">
        <f>Искусство!E25</f>
        <v>0</v>
      </c>
      <c r="O25" s="7" t="s">
        <v>28</v>
      </c>
      <c r="P25" s="5">
        <f>Исп.язык!E25</f>
        <v>0</v>
      </c>
      <c r="Q25" s="6" t="s">
        <v>28</v>
      </c>
      <c r="R25" s="3">
        <f>История!E25</f>
        <v>0</v>
      </c>
      <c r="S25" s="7" t="s">
        <v>28</v>
      </c>
      <c r="T25" s="5">
        <f>Итал.язык!E25</f>
        <v>0</v>
      </c>
      <c r="U25" s="6" t="s">
        <v>28</v>
      </c>
      <c r="V25" s="3">
        <f>Кит.язык!E25</f>
        <v>0</v>
      </c>
      <c r="W25" s="7" t="s">
        <v>28</v>
      </c>
      <c r="X25" s="5">
        <f>Литература!E25</f>
        <v>0</v>
      </c>
      <c r="Y25" s="6" t="s">
        <v>28</v>
      </c>
      <c r="Z25" s="3">
        <f>Математика!E25</f>
        <v>0</v>
      </c>
      <c r="AA25" s="7" t="s">
        <v>28</v>
      </c>
      <c r="AB25" s="5">
        <f>Нем.язык!E25</f>
        <v>0</v>
      </c>
      <c r="AC25" s="6" t="s">
        <v>28</v>
      </c>
      <c r="AD25" s="3">
        <f>ОБЗР!E25</f>
        <v>0</v>
      </c>
      <c r="AE25" s="7" t="s">
        <v>28</v>
      </c>
      <c r="AF25" s="5">
        <f>Обществознание!E25</f>
        <v>0</v>
      </c>
      <c r="AG25" s="6" t="s">
        <v>28</v>
      </c>
      <c r="AH25" s="3">
        <f>Право!E25</f>
        <v>0</v>
      </c>
      <c r="AI25" s="7" t="s">
        <v>28</v>
      </c>
      <c r="AJ25" s="5">
        <f>Программирование!E25</f>
        <v>0</v>
      </c>
      <c r="AK25" s="6" t="s">
        <v>28</v>
      </c>
      <c r="AL25" s="3">
        <f>Робототехника!E25</f>
        <v>0</v>
      </c>
      <c r="AM25" s="7" t="s">
        <v>28</v>
      </c>
      <c r="AN25" s="5">
        <f>'Русский язык'!E25</f>
        <v>0</v>
      </c>
      <c r="AO25" s="6" t="s">
        <v>28</v>
      </c>
      <c r="AP25" s="3">
        <f>Труд!E25</f>
        <v>0</v>
      </c>
      <c r="AQ25" s="7" t="s">
        <v>28</v>
      </c>
      <c r="AR25" s="5">
        <f>Физ.культура!E25</f>
        <v>0</v>
      </c>
      <c r="AS25" s="6" t="s">
        <v>28</v>
      </c>
      <c r="AT25" s="3">
        <f>Физика!E25</f>
        <v>0</v>
      </c>
      <c r="AU25" s="7" t="s">
        <v>28</v>
      </c>
      <c r="AV25" s="5">
        <f>Фран.язык!E25</f>
        <v>0</v>
      </c>
      <c r="AW25" s="6" t="s">
        <v>28</v>
      </c>
      <c r="AX25" s="3">
        <f>Химия!E25</f>
        <v>0</v>
      </c>
      <c r="AY25" s="7" t="s">
        <v>28</v>
      </c>
      <c r="AZ25" s="5">
        <f>Экология!E25</f>
        <v>0</v>
      </c>
      <c r="BA25" s="6" t="s">
        <v>28</v>
      </c>
      <c r="BB25" s="3">
        <f>Экономика!E25</f>
        <v>0</v>
      </c>
    </row>
    <row r="26" spans="1:54" x14ac:dyDescent="0.25">
      <c r="A26" s="6" t="s">
        <v>29</v>
      </c>
      <c r="B26" s="3">
        <f>'Англ. язык'!E26</f>
        <v>0</v>
      </c>
      <c r="C26" s="7" t="s">
        <v>29</v>
      </c>
      <c r="D26" s="5">
        <f>Астрономия!E26</f>
        <v>0</v>
      </c>
      <c r="E26" s="6" t="s">
        <v>29</v>
      </c>
      <c r="F26" s="3">
        <f>Биология!E26</f>
        <v>0</v>
      </c>
      <c r="G26" s="7" t="s">
        <v>29</v>
      </c>
      <c r="H26" s="5">
        <f>География!E26</f>
        <v>0</v>
      </c>
      <c r="I26" s="6" t="s">
        <v>29</v>
      </c>
      <c r="J26" s="3">
        <f>ИИ!E26</f>
        <v>0</v>
      </c>
      <c r="K26" s="7" t="s">
        <v>29</v>
      </c>
      <c r="L26" s="5">
        <f>Инф.без.!E26</f>
        <v>0</v>
      </c>
      <c r="M26" s="6" t="s">
        <v>29</v>
      </c>
      <c r="N26" s="3">
        <f>Искусство!E26</f>
        <v>0</v>
      </c>
      <c r="O26" s="7" t="s">
        <v>29</v>
      </c>
      <c r="P26" s="5">
        <f>Исп.язык!E26</f>
        <v>0</v>
      </c>
      <c r="Q26" s="6" t="s">
        <v>29</v>
      </c>
      <c r="R26" s="3">
        <f>История!E26</f>
        <v>0</v>
      </c>
      <c r="S26" s="7" t="s">
        <v>29</v>
      </c>
      <c r="T26" s="5">
        <f>Итал.язык!E26</f>
        <v>0</v>
      </c>
      <c r="U26" s="6" t="s">
        <v>29</v>
      </c>
      <c r="V26" s="3">
        <f>Кит.язык!E26</f>
        <v>0</v>
      </c>
      <c r="W26" s="7" t="s">
        <v>29</v>
      </c>
      <c r="X26" s="5">
        <f>Литература!E26</f>
        <v>0</v>
      </c>
      <c r="Y26" s="6" t="s">
        <v>29</v>
      </c>
      <c r="Z26" s="3">
        <f>Математика!E26</f>
        <v>0</v>
      </c>
      <c r="AA26" s="7" t="s">
        <v>29</v>
      </c>
      <c r="AB26" s="5">
        <f>Нем.язык!E26</f>
        <v>0</v>
      </c>
      <c r="AC26" s="6" t="s">
        <v>29</v>
      </c>
      <c r="AD26" s="3">
        <f>ОБЗР!E26</f>
        <v>0</v>
      </c>
      <c r="AE26" s="7" t="s">
        <v>29</v>
      </c>
      <c r="AF26" s="5">
        <f>Обществознание!E26</f>
        <v>0</v>
      </c>
      <c r="AG26" s="6" t="s">
        <v>29</v>
      </c>
      <c r="AH26" s="3">
        <f>Право!E26</f>
        <v>0</v>
      </c>
      <c r="AI26" s="7" t="s">
        <v>29</v>
      </c>
      <c r="AJ26" s="5">
        <f>Программирование!E26</f>
        <v>0</v>
      </c>
      <c r="AK26" s="6" t="s">
        <v>29</v>
      </c>
      <c r="AL26" s="3">
        <f>Робототехника!E26</f>
        <v>0</v>
      </c>
      <c r="AM26" s="7" t="s">
        <v>29</v>
      </c>
      <c r="AN26" s="5">
        <f>'Русский язык'!E26</f>
        <v>0</v>
      </c>
      <c r="AO26" s="6" t="s">
        <v>29</v>
      </c>
      <c r="AP26" s="3">
        <f>Труд!E26</f>
        <v>0</v>
      </c>
      <c r="AQ26" s="7" t="s">
        <v>29</v>
      </c>
      <c r="AR26" s="5">
        <f>Физ.культура!E26</f>
        <v>0</v>
      </c>
      <c r="AS26" s="6" t="s">
        <v>29</v>
      </c>
      <c r="AT26" s="3">
        <f>Физика!E26</f>
        <v>0</v>
      </c>
      <c r="AU26" s="7" t="s">
        <v>29</v>
      </c>
      <c r="AV26" s="5">
        <f>Фран.язык!E26</f>
        <v>0</v>
      </c>
      <c r="AW26" s="6" t="s">
        <v>29</v>
      </c>
      <c r="AX26" s="3">
        <f>Химия!E26</f>
        <v>0</v>
      </c>
      <c r="AY26" s="7" t="s">
        <v>29</v>
      </c>
      <c r="AZ26" s="5">
        <f>Экология!E26</f>
        <v>0</v>
      </c>
      <c r="BA26" s="6" t="s">
        <v>29</v>
      </c>
      <c r="BB26" s="3">
        <f>Экономика!E26</f>
        <v>0</v>
      </c>
    </row>
    <row r="27" spans="1:54" x14ac:dyDescent="0.25">
      <c r="A27" s="6" t="s">
        <v>30</v>
      </c>
      <c r="B27" s="3">
        <f>'Англ. язык'!E27</f>
        <v>0</v>
      </c>
      <c r="C27" s="7" t="s">
        <v>30</v>
      </c>
      <c r="D27" s="5">
        <f>Астрономия!E27</f>
        <v>0</v>
      </c>
      <c r="E27" s="6" t="s">
        <v>30</v>
      </c>
      <c r="F27" s="3">
        <f>Биология!E27</f>
        <v>0</v>
      </c>
      <c r="G27" s="7" t="s">
        <v>30</v>
      </c>
      <c r="H27" s="5">
        <f>География!E27</f>
        <v>0</v>
      </c>
      <c r="I27" s="6" t="s">
        <v>30</v>
      </c>
      <c r="J27" s="3">
        <f>ИИ!E27</f>
        <v>0</v>
      </c>
      <c r="K27" s="7" t="s">
        <v>30</v>
      </c>
      <c r="L27" s="5">
        <f>Инф.без.!E27</f>
        <v>0</v>
      </c>
      <c r="M27" s="6" t="s">
        <v>30</v>
      </c>
      <c r="N27" s="3">
        <f>Искусство!E27</f>
        <v>0</v>
      </c>
      <c r="O27" s="7" t="s">
        <v>30</v>
      </c>
      <c r="P27" s="5">
        <f>Исп.язык!E27</f>
        <v>0</v>
      </c>
      <c r="Q27" s="6" t="s">
        <v>30</v>
      </c>
      <c r="R27" s="3">
        <f>История!E27</f>
        <v>0</v>
      </c>
      <c r="S27" s="7" t="s">
        <v>30</v>
      </c>
      <c r="T27" s="5">
        <f>Итал.язык!E27</f>
        <v>0</v>
      </c>
      <c r="U27" s="6" t="s">
        <v>30</v>
      </c>
      <c r="V27" s="3">
        <f>Кит.язык!E27</f>
        <v>0</v>
      </c>
      <c r="W27" s="7" t="s">
        <v>30</v>
      </c>
      <c r="X27" s="5">
        <f>Литература!E27</f>
        <v>0</v>
      </c>
      <c r="Y27" s="6" t="s">
        <v>30</v>
      </c>
      <c r="Z27" s="3">
        <f>Математика!E27</f>
        <v>0</v>
      </c>
      <c r="AA27" s="7" t="s">
        <v>30</v>
      </c>
      <c r="AB27" s="5">
        <f>Нем.язык!E27</f>
        <v>0</v>
      </c>
      <c r="AC27" s="6" t="s">
        <v>30</v>
      </c>
      <c r="AD27" s="3">
        <f>ОБЗР!E27</f>
        <v>0</v>
      </c>
      <c r="AE27" s="7" t="s">
        <v>30</v>
      </c>
      <c r="AF27" s="5">
        <f>Обществознание!E27</f>
        <v>0</v>
      </c>
      <c r="AG27" s="6" t="s">
        <v>30</v>
      </c>
      <c r="AH27" s="3">
        <f>Право!E27</f>
        <v>0</v>
      </c>
      <c r="AI27" s="7" t="s">
        <v>30</v>
      </c>
      <c r="AJ27" s="5">
        <f>Программирование!E27</f>
        <v>0</v>
      </c>
      <c r="AK27" s="6" t="s">
        <v>30</v>
      </c>
      <c r="AL27" s="3">
        <f>Робототехника!E27</f>
        <v>0</v>
      </c>
      <c r="AM27" s="7" t="s">
        <v>30</v>
      </c>
      <c r="AN27" s="5">
        <f>'Русский язык'!E27</f>
        <v>0</v>
      </c>
      <c r="AO27" s="6" t="s">
        <v>30</v>
      </c>
      <c r="AP27" s="3">
        <f>Труд!E27</f>
        <v>0</v>
      </c>
      <c r="AQ27" s="7" t="s">
        <v>30</v>
      </c>
      <c r="AR27" s="5">
        <f>Физ.культура!E27</f>
        <v>0</v>
      </c>
      <c r="AS27" s="6" t="s">
        <v>30</v>
      </c>
      <c r="AT27" s="3">
        <f>Физика!E27</f>
        <v>0</v>
      </c>
      <c r="AU27" s="7" t="s">
        <v>30</v>
      </c>
      <c r="AV27" s="5">
        <f>Фран.язык!E27</f>
        <v>0</v>
      </c>
      <c r="AW27" s="6" t="s">
        <v>30</v>
      </c>
      <c r="AX27" s="3">
        <f>Химия!E27</f>
        <v>0</v>
      </c>
      <c r="AY27" s="7" t="s">
        <v>30</v>
      </c>
      <c r="AZ27" s="5">
        <f>Экология!E27</f>
        <v>0</v>
      </c>
      <c r="BA27" s="6" t="s">
        <v>30</v>
      </c>
      <c r="BB27" s="3">
        <f>Экономика!E27</f>
        <v>0</v>
      </c>
    </row>
    <row r="28" spans="1:54" x14ac:dyDescent="0.25">
      <c r="A28" s="6" t="s">
        <v>31</v>
      </c>
      <c r="B28" s="3">
        <f>'Англ. язык'!E28</f>
        <v>2</v>
      </c>
      <c r="C28" s="7" t="s">
        <v>31</v>
      </c>
      <c r="D28" s="5">
        <f>Астрономия!E28</f>
        <v>3</v>
      </c>
      <c r="E28" s="6" t="s">
        <v>31</v>
      </c>
      <c r="F28" s="3">
        <f>Биология!E28</f>
        <v>3</v>
      </c>
      <c r="G28" s="7" t="s">
        <v>31</v>
      </c>
      <c r="H28" s="5">
        <f>География!E28</f>
        <v>3</v>
      </c>
      <c r="I28" s="6" t="s">
        <v>31</v>
      </c>
      <c r="J28" s="3">
        <f>ИИ!E28</f>
        <v>3</v>
      </c>
      <c r="K28" s="7" t="s">
        <v>31</v>
      </c>
      <c r="L28" s="5">
        <f>Инф.без.!E28</f>
        <v>3</v>
      </c>
      <c r="M28" s="6" t="s">
        <v>31</v>
      </c>
      <c r="N28" s="3">
        <f>Искусство!E28</f>
        <v>3</v>
      </c>
      <c r="O28" s="7" t="s">
        <v>31</v>
      </c>
      <c r="P28" s="5">
        <f>Исп.язык!E28</f>
        <v>3</v>
      </c>
      <c r="Q28" s="6" t="s">
        <v>31</v>
      </c>
      <c r="R28" s="3">
        <f>История!E28</f>
        <v>3</v>
      </c>
      <c r="S28" s="7" t="s">
        <v>31</v>
      </c>
      <c r="T28" s="5">
        <f>Итал.язык!E28</f>
        <v>3</v>
      </c>
      <c r="U28" s="6" t="s">
        <v>31</v>
      </c>
      <c r="V28" s="3">
        <f>Кит.язык!E28</f>
        <v>3</v>
      </c>
      <c r="W28" s="7" t="s">
        <v>31</v>
      </c>
      <c r="X28" s="5">
        <f>Литература!E28</f>
        <v>3</v>
      </c>
      <c r="Y28" s="6" t="s">
        <v>31</v>
      </c>
      <c r="Z28" s="3">
        <f>Математика!E28</f>
        <v>3</v>
      </c>
      <c r="AA28" s="7" t="s">
        <v>31</v>
      </c>
      <c r="AB28" s="5">
        <f>Нем.язык!E28</f>
        <v>3</v>
      </c>
      <c r="AC28" s="6" t="s">
        <v>31</v>
      </c>
      <c r="AD28" s="3">
        <f>ОБЗР!E28</f>
        <v>3</v>
      </c>
      <c r="AE28" s="7" t="s">
        <v>31</v>
      </c>
      <c r="AF28" s="5">
        <f>Обществознание!E28</f>
        <v>4</v>
      </c>
      <c r="AG28" s="6" t="s">
        <v>31</v>
      </c>
      <c r="AH28" s="3">
        <f>Право!E28</f>
        <v>3</v>
      </c>
      <c r="AI28" s="7" t="s">
        <v>31</v>
      </c>
      <c r="AJ28" s="5">
        <f>Программирование!E28</f>
        <v>4</v>
      </c>
      <c r="AK28" s="6" t="s">
        <v>31</v>
      </c>
      <c r="AL28" s="3">
        <f>Робототехника!E28</f>
        <v>3</v>
      </c>
      <c r="AM28" s="7" t="s">
        <v>31</v>
      </c>
      <c r="AN28" s="5">
        <f>'Русский язык'!E28</f>
        <v>4</v>
      </c>
      <c r="AO28" s="6" t="s">
        <v>31</v>
      </c>
      <c r="AP28" s="3">
        <f>Труд!E28</f>
        <v>3</v>
      </c>
      <c r="AQ28" s="7" t="s">
        <v>31</v>
      </c>
      <c r="AR28" s="5">
        <f>Физ.культура!E28</f>
        <v>2</v>
      </c>
      <c r="AS28" s="6" t="s">
        <v>31</v>
      </c>
      <c r="AT28" s="3">
        <f>Физика!E28</f>
        <v>3</v>
      </c>
      <c r="AU28" s="7" t="s">
        <v>31</v>
      </c>
      <c r="AV28" s="5">
        <f>Фран.язык!E28</f>
        <v>2</v>
      </c>
      <c r="AW28" s="6" t="s">
        <v>31</v>
      </c>
      <c r="AX28" s="3">
        <f>Химия!E28</f>
        <v>2</v>
      </c>
      <c r="AY28" s="7" t="s">
        <v>31</v>
      </c>
      <c r="AZ28" s="5">
        <f>Экология!E28</f>
        <v>2</v>
      </c>
      <c r="BA28" s="6" t="s">
        <v>31</v>
      </c>
      <c r="BB28" s="3">
        <f>Экономика!E28</f>
        <v>1</v>
      </c>
    </row>
    <row r="29" spans="1:54" x14ac:dyDescent="0.25">
      <c r="A29" s="6" t="s">
        <v>3</v>
      </c>
      <c r="B29" s="3">
        <f>'Англ. язык'!E29</f>
        <v>0</v>
      </c>
      <c r="C29" s="7" t="s">
        <v>3</v>
      </c>
      <c r="D29" s="5">
        <f>Астрономия!E29</f>
        <v>0</v>
      </c>
      <c r="E29" s="6" t="s">
        <v>3</v>
      </c>
      <c r="F29" s="3">
        <f>Биология!E29</f>
        <v>0</v>
      </c>
      <c r="G29" s="7" t="s">
        <v>3</v>
      </c>
      <c r="H29" s="5">
        <f>География!E29</f>
        <v>0</v>
      </c>
      <c r="I29" s="6" t="s">
        <v>3</v>
      </c>
      <c r="J29" s="3">
        <f>ИИ!E29</f>
        <v>0</v>
      </c>
      <c r="K29" s="7" t="s">
        <v>3</v>
      </c>
      <c r="L29" s="5">
        <f>Инф.без.!E29</f>
        <v>0</v>
      </c>
      <c r="M29" s="6" t="s">
        <v>3</v>
      </c>
      <c r="N29" s="3">
        <f>Искусство!E29</f>
        <v>0</v>
      </c>
      <c r="O29" s="7" t="s">
        <v>3</v>
      </c>
      <c r="P29" s="5">
        <f>Исп.язык!E29</f>
        <v>0</v>
      </c>
      <c r="Q29" s="6" t="s">
        <v>3</v>
      </c>
      <c r="R29" s="3">
        <f>История!E29</f>
        <v>0</v>
      </c>
      <c r="S29" s="7" t="s">
        <v>3</v>
      </c>
      <c r="T29" s="5">
        <f>Итал.язык!E29</f>
        <v>0</v>
      </c>
      <c r="U29" s="6" t="s">
        <v>3</v>
      </c>
      <c r="V29" s="3">
        <f>Кит.язык!E29</f>
        <v>0</v>
      </c>
      <c r="W29" s="7" t="s">
        <v>3</v>
      </c>
      <c r="X29" s="5">
        <f>Литература!E29</f>
        <v>0</v>
      </c>
      <c r="Y29" s="6" t="s">
        <v>3</v>
      </c>
      <c r="Z29" s="3">
        <f>Математика!E29</f>
        <v>0</v>
      </c>
      <c r="AA29" s="7" t="s">
        <v>3</v>
      </c>
      <c r="AB29" s="5">
        <f>Нем.язык!E29</f>
        <v>0</v>
      </c>
      <c r="AC29" s="6" t="s">
        <v>3</v>
      </c>
      <c r="AD29" s="3">
        <f>ОБЗР!E29</f>
        <v>0</v>
      </c>
      <c r="AE29" s="7" t="s">
        <v>3</v>
      </c>
      <c r="AF29" s="5">
        <f>Обществознание!E29</f>
        <v>0</v>
      </c>
      <c r="AG29" s="6" t="s">
        <v>3</v>
      </c>
      <c r="AH29" s="3">
        <f>Право!E29</f>
        <v>0</v>
      </c>
      <c r="AI29" s="7" t="s">
        <v>3</v>
      </c>
      <c r="AJ29" s="5">
        <f>Программирование!E29</f>
        <v>0</v>
      </c>
      <c r="AK29" s="6" t="s">
        <v>3</v>
      </c>
      <c r="AL29" s="3">
        <f>Робототехника!E29</f>
        <v>0</v>
      </c>
      <c r="AM29" s="7" t="s">
        <v>3</v>
      </c>
      <c r="AN29" s="5">
        <f>'Русский язык'!E29</f>
        <v>0</v>
      </c>
      <c r="AO29" s="6" t="s">
        <v>3</v>
      </c>
      <c r="AP29" s="3">
        <f>Труд!E29</f>
        <v>0</v>
      </c>
      <c r="AQ29" s="7" t="s">
        <v>3</v>
      </c>
      <c r="AR29" s="5">
        <f>Физ.культура!E29</f>
        <v>0</v>
      </c>
      <c r="AS29" s="6" t="s">
        <v>3</v>
      </c>
      <c r="AT29" s="3">
        <f>Физика!E29</f>
        <v>0</v>
      </c>
      <c r="AU29" s="7" t="s">
        <v>3</v>
      </c>
      <c r="AV29" s="5">
        <f>Фран.язык!E29</f>
        <v>0</v>
      </c>
      <c r="AW29" s="6" t="s">
        <v>3</v>
      </c>
      <c r="AX29" s="3">
        <f>Химия!E29</f>
        <v>0</v>
      </c>
      <c r="AY29" s="7" t="s">
        <v>3</v>
      </c>
      <c r="AZ29" s="5">
        <f>Экология!E29</f>
        <v>0</v>
      </c>
      <c r="BA29" s="6" t="s">
        <v>3</v>
      </c>
      <c r="BB29" s="3">
        <f>Экономика!E29</f>
        <v>0</v>
      </c>
    </row>
    <row r="30" spans="1:54" x14ac:dyDescent="0.25">
      <c r="A30" s="6" t="s">
        <v>32</v>
      </c>
      <c r="B30" s="3">
        <f>'Англ. язык'!E30</f>
        <v>0</v>
      </c>
      <c r="C30" s="7" t="s">
        <v>32</v>
      </c>
      <c r="D30" s="5">
        <f>Астрономия!E30</f>
        <v>0</v>
      </c>
      <c r="E30" s="6" t="s">
        <v>32</v>
      </c>
      <c r="F30" s="3">
        <f>Биология!E30</f>
        <v>0</v>
      </c>
      <c r="G30" s="7" t="s">
        <v>32</v>
      </c>
      <c r="H30" s="5">
        <f>География!E30</f>
        <v>0</v>
      </c>
      <c r="I30" s="6" t="s">
        <v>32</v>
      </c>
      <c r="J30" s="3">
        <f>ИИ!E30</f>
        <v>0</v>
      </c>
      <c r="K30" s="7" t="s">
        <v>32</v>
      </c>
      <c r="L30" s="5">
        <f>Инф.без.!E30</f>
        <v>0</v>
      </c>
      <c r="M30" s="6" t="s">
        <v>32</v>
      </c>
      <c r="N30" s="3">
        <f>Искусство!E30</f>
        <v>0</v>
      </c>
      <c r="O30" s="7" t="s">
        <v>32</v>
      </c>
      <c r="P30" s="5">
        <f>Исп.язык!E30</f>
        <v>0</v>
      </c>
      <c r="Q30" s="6" t="s">
        <v>32</v>
      </c>
      <c r="R30" s="3">
        <f>История!E30</f>
        <v>0</v>
      </c>
      <c r="S30" s="7" t="s">
        <v>32</v>
      </c>
      <c r="T30" s="5">
        <f>Итал.язык!E30</f>
        <v>0</v>
      </c>
      <c r="U30" s="6" t="s">
        <v>32</v>
      </c>
      <c r="V30" s="3">
        <f>Кит.язык!E30</f>
        <v>0</v>
      </c>
      <c r="W30" s="7" t="s">
        <v>32</v>
      </c>
      <c r="X30" s="5">
        <f>Литература!E30</f>
        <v>0</v>
      </c>
      <c r="Y30" s="6" t="s">
        <v>32</v>
      </c>
      <c r="Z30" s="3">
        <f>Математика!E30</f>
        <v>0</v>
      </c>
      <c r="AA30" s="7" t="s">
        <v>32</v>
      </c>
      <c r="AB30" s="5">
        <f>Нем.язык!E30</f>
        <v>0</v>
      </c>
      <c r="AC30" s="6" t="s">
        <v>32</v>
      </c>
      <c r="AD30" s="3">
        <f>ОБЗР!E30</f>
        <v>0</v>
      </c>
      <c r="AE30" s="7" t="s">
        <v>32</v>
      </c>
      <c r="AF30" s="5">
        <f>Обществознание!E30</f>
        <v>0</v>
      </c>
      <c r="AG30" s="6" t="s">
        <v>32</v>
      </c>
      <c r="AH30" s="3">
        <f>Право!E30</f>
        <v>0</v>
      </c>
      <c r="AI30" s="7" t="s">
        <v>32</v>
      </c>
      <c r="AJ30" s="5">
        <f>Программирование!E30</f>
        <v>0</v>
      </c>
      <c r="AK30" s="6" t="s">
        <v>32</v>
      </c>
      <c r="AL30" s="3">
        <f>Робототехника!E30</f>
        <v>0</v>
      </c>
      <c r="AM30" s="7" t="s">
        <v>32</v>
      </c>
      <c r="AN30" s="5">
        <f>'Русский язык'!E30</f>
        <v>0</v>
      </c>
      <c r="AO30" s="6" t="s">
        <v>32</v>
      </c>
      <c r="AP30" s="3">
        <f>Труд!E30</f>
        <v>0</v>
      </c>
      <c r="AQ30" s="7" t="s">
        <v>32</v>
      </c>
      <c r="AR30" s="5">
        <f>Физ.культура!E30</f>
        <v>0</v>
      </c>
      <c r="AS30" s="6" t="s">
        <v>32</v>
      </c>
      <c r="AT30" s="3">
        <f>Физика!E30</f>
        <v>0</v>
      </c>
      <c r="AU30" s="7" t="s">
        <v>32</v>
      </c>
      <c r="AV30" s="5">
        <f>Фран.язык!E30</f>
        <v>0</v>
      </c>
      <c r="AW30" s="6" t="s">
        <v>32</v>
      </c>
      <c r="AX30" s="3">
        <f>Химия!E30</f>
        <v>0</v>
      </c>
      <c r="AY30" s="7" t="s">
        <v>32</v>
      </c>
      <c r="AZ30" s="5">
        <f>Экология!E30</f>
        <v>0</v>
      </c>
      <c r="BA30" s="6" t="s">
        <v>32</v>
      </c>
      <c r="BB30" s="3">
        <f>Экономика!E30</f>
        <v>0</v>
      </c>
    </row>
    <row r="31" spans="1:54" x14ac:dyDescent="0.25">
      <c r="A31" s="6" t="s">
        <v>33</v>
      </c>
      <c r="B31" s="3">
        <f>'Англ. язык'!E31</f>
        <v>0</v>
      </c>
      <c r="C31" s="7" t="s">
        <v>33</v>
      </c>
      <c r="D31" s="5">
        <f>Астрономия!E31</f>
        <v>0</v>
      </c>
      <c r="E31" s="6" t="s">
        <v>33</v>
      </c>
      <c r="F31" s="3">
        <f>Биология!E31</f>
        <v>0</v>
      </c>
      <c r="G31" s="7" t="s">
        <v>33</v>
      </c>
      <c r="H31" s="5">
        <f>География!E31</f>
        <v>0</v>
      </c>
      <c r="I31" s="6" t="s">
        <v>33</v>
      </c>
      <c r="J31" s="3">
        <f>ИИ!E31</f>
        <v>0</v>
      </c>
      <c r="K31" s="7" t="s">
        <v>33</v>
      </c>
      <c r="L31" s="5">
        <f>Инф.без.!E31</f>
        <v>0</v>
      </c>
      <c r="M31" s="6" t="s">
        <v>33</v>
      </c>
      <c r="N31" s="3">
        <f>Искусство!E31</f>
        <v>0</v>
      </c>
      <c r="O31" s="7" t="s">
        <v>33</v>
      </c>
      <c r="P31" s="5">
        <f>Исп.язык!E31</f>
        <v>0</v>
      </c>
      <c r="Q31" s="6" t="s">
        <v>33</v>
      </c>
      <c r="R31" s="3">
        <f>История!E31</f>
        <v>0</v>
      </c>
      <c r="S31" s="7" t="s">
        <v>33</v>
      </c>
      <c r="T31" s="5">
        <f>Итал.язык!E31</f>
        <v>0</v>
      </c>
      <c r="U31" s="6" t="s">
        <v>33</v>
      </c>
      <c r="V31" s="3">
        <f>Кит.язык!E31</f>
        <v>0</v>
      </c>
      <c r="W31" s="7" t="s">
        <v>33</v>
      </c>
      <c r="X31" s="5">
        <f>Литература!E31</f>
        <v>0</v>
      </c>
      <c r="Y31" s="6" t="s">
        <v>33</v>
      </c>
      <c r="Z31" s="3">
        <f>Математика!E31</f>
        <v>0</v>
      </c>
      <c r="AA31" s="7" t="s">
        <v>33</v>
      </c>
      <c r="AB31" s="5">
        <f>Нем.язык!E31</f>
        <v>0</v>
      </c>
      <c r="AC31" s="6" t="s">
        <v>33</v>
      </c>
      <c r="AD31" s="3">
        <f>ОБЗР!E31</f>
        <v>0</v>
      </c>
      <c r="AE31" s="7" t="s">
        <v>33</v>
      </c>
      <c r="AF31" s="5">
        <f>Обществознание!E31</f>
        <v>0</v>
      </c>
      <c r="AG31" s="6" t="s">
        <v>33</v>
      </c>
      <c r="AH31" s="3">
        <f>Право!E31</f>
        <v>0</v>
      </c>
      <c r="AI31" s="7" t="s">
        <v>33</v>
      </c>
      <c r="AJ31" s="5">
        <f>Программирование!E31</f>
        <v>0</v>
      </c>
      <c r="AK31" s="6" t="s">
        <v>33</v>
      </c>
      <c r="AL31" s="3">
        <f>Робототехника!E31</f>
        <v>0</v>
      </c>
      <c r="AM31" s="7" t="s">
        <v>33</v>
      </c>
      <c r="AN31" s="5">
        <f>'Русский язык'!E31</f>
        <v>0</v>
      </c>
      <c r="AO31" s="6" t="s">
        <v>33</v>
      </c>
      <c r="AP31" s="3">
        <f>Труд!E31</f>
        <v>0</v>
      </c>
      <c r="AQ31" s="7" t="s">
        <v>33</v>
      </c>
      <c r="AR31" s="5">
        <f>Физ.культура!E31</f>
        <v>0</v>
      </c>
      <c r="AS31" s="6" t="s">
        <v>33</v>
      </c>
      <c r="AT31" s="3">
        <f>Физика!E31</f>
        <v>0</v>
      </c>
      <c r="AU31" s="7" t="s">
        <v>33</v>
      </c>
      <c r="AV31" s="5">
        <f>Фран.язык!E31</f>
        <v>0</v>
      </c>
      <c r="AW31" s="6" t="s">
        <v>33</v>
      </c>
      <c r="AX31" s="3">
        <f>Химия!E31</f>
        <v>0</v>
      </c>
      <c r="AY31" s="7" t="s">
        <v>33</v>
      </c>
      <c r="AZ31" s="5">
        <f>Экология!E31</f>
        <v>0</v>
      </c>
      <c r="BA31" s="6" t="s">
        <v>33</v>
      </c>
      <c r="BB31" s="3">
        <f>Экономика!E31</f>
        <v>0</v>
      </c>
    </row>
    <row r="32" spans="1:54" x14ac:dyDescent="0.25">
      <c r="A32" s="6" t="s">
        <v>34</v>
      </c>
      <c r="B32" s="3">
        <f>'Англ. язык'!E32</f>
        <v>2</v>
      </c>
      <c r="C32" s="7" t="s">
        <v>34</v>
      </c>
      <c r="D32" s="5">
        <f>Астрономия!E32</f>
        <v>3</v>
      </c>
      <c r="E32" s="6" t="s">
        <v>34</v>
      </c>
      <c r="F32" s="3">
        <f>Биология!E32</f>
        <v>3</v>
      </c>
      <c r="G32" s="7" t="s">
        <v>34</v>
      </c>
      <c r="H32" s="5">
        <f>География!E32</f>
        <v>3</v>
      </c>
      <c r="I32" s="6" t="s">
        <v>34</v>
      </c>
      <c r="J32" s="3">
        <f>ИИ!E32</f>
        <v>3</v>
      </c>
      <c r="K32" s="7" t="s">
        <v>34</v>
      </c>
      <c r="L32" s="5">
        <f>Инф.без.!E32</f>
        <v>3</v>
      </c>
      <c r="M32" s="6" t="s">
        <v>34</v>
      </c>
      <c r="N32" s="3">
        <f>Искусство!E32</f>
        <v>3</v>
      </c>
      <c r="O32" s="7" t="s">
        <v>34</v>
      </c>
      <c r="P32" s="5">
        <f>Исп.язык!E32</f>
        <v>3</v>
      </c>
      <c r="Q32" s="6" t="s">
        <v>34</v>
      </c>
      <c r="R32" s="3">
        <f>История!E32</f>
        <v>3</v>
      </c>
      <c r="S32" s="7" t="s">
        <v>34</v>
      </c>
      <c r="T32" s="5">
        <f>Итал.язык!E32</f>
        <v>3</v>
      </c>
      <c r="U32" s="6" t="s">
        <v>34</v>
      </c>
      <c r="V32" s="3">
        <f>Кит.язык!E32</f>
        <v>3</v>
      </c>
      <c r="W32" s="7" t="s">
        <v>34</v>
      </c>
      <c r="X32" s="5">
        <f>Литература!E32</f>
        <v>3</v>
      </c>
      <c r="Y32" s="6" t="s">
        <v>34</v>
      </c>
      <c r="Z32" s="3">
        <f>Математика!E32</f>
        <v>22</v>
      </c>
      <c r="AA32" s="7" t="s">
        <v>34</v>
      </c>
      <c r="AB32" s="5">
        <f>Нем.язык!E32</f>
        <v>3</v>
      </c>
      <c r="AC32" s="6" t="s">
        <v>34</v>
      </c>
      <c r="AD32" s="3">
        <f>ОБЗР!E32</f>
        <v>3</v>
      </c>
      <c r="AE32" s="7" t="s">
        <v>34</v>
      </c>
      <c r="AF32" s="5">
        <f>Обществознание!E32</f>
        <v>4</v>
      </c>
      <c r="AG32" s="6" t="s">
        <v>34</v>
      </c>
      <c r="AH32" s="3">
        <f>Право!E32</f>
        <v>3</v>
      </c>
      <c r="AI32" s="7" t="s">
        <v>34</v>
      </c>
      <c r="AJ32" s="5">
        <f>Программирование!E32</f>
        <v>4</v>
      </c>
      <c r="AK32" s="6" t="s">
        <v>34</v>
      </c>
      <c r="AL32" s="3">
        <f>Робототехника!E32</f>
        <v>3</v>
      </c>
      <c r="AM32" s="7" t="s">
        <v>34</v>
      </c>
      <c r="AN32" s="5">
        <f>'Русский язык'!E32</f>
        <v>15</v>
      </c>
      <c r="AO32" s="6" t="s">
        <v>34</v>
      </c>
      <c r="AP32" s="3">
        <f>Труд!E32</f>
        <v>3</v>
      </c>
      <c r="AQ32" s="7" t="s">
        <v>34</v>
      </c>
      <c r="AR32" s="5">
        <f>Физ.культура!E32</f>
        <v>2</v>
      </c>
      <c r="AS32" s="6" t="s">
        <v>34</v>
      </c>
      <c r="AT32" s="3">
        <f>Физика!E32</f>
        <v>3</v>
      </c>
      <c r="AU32" s="7" t="s">
        <v>34</v>
      </c>
      <c r="AV32" s="5">
        <f>Фран.язык!E32</f>
        <v>2</v>
      </c>
      <c r="AW32" s="6" t="s">
        <v>34</v>
      </c>
      <c r="AX32" s="3">
        <f>Химия!E32</f>
        <v>2</v>
      </c>
      <c r="AY32" s="7" t="s">
        <v>34</v>
      </c>
      <c r="AZ32" s="5">
        <f>Экология!E32</f>
        <v>2</v>
      </c>
      <c r="BA32" s="6" t="s">
        <v>34</v>
      </c>
      <c r="BB32" s="3">
        <f>Экономика!E32</f>
        <v>1</v>
      </c>
    </row>
    <row r="33" spans="1:54" x14ac:dyDescent="0.25">
      <c r="A33" s="2" t="s">
        <v>35</v>
      </c>
      <c r="B33" s="3">
        <f>SUM(B2:B32)</f>
        <v>4</v>
      </c>
      <c r="C33" s="4" t="s">
        <v>35</v>
      </c>
      <c r="D33" s="5">
        <f>SUM(D2:D32)</f>
        <v>6</v>
      </c>
      <c r="E33" s="2" t="s">
        <v>35</v>
      </c>
      <c r="F33" s="3">
        <f>SUM(F2:F32)</f>
        <v>6</v>
      </c>
      <c r="G33" s="4" t="s">
        <v>35</v>
      </c>
      <c r="H33" s="5">
        <f>SUM(H2:H32)</f>
        <v>6</v>
      </c>
      <c r="I33" s="2" t="s">
        <v>35</v>
      </c>
      <c r="J33" s="3">
        <f>SUM(J2:J32)</f>
        <v>6</v>
      </c>
      <c r="K33" s="4" t="s">
        <v>35</v>
      </c>
      <c r="L33" s="5">
        <f>SUM(L2:L32)</f>
        <v>6</v>
      </c>
      <c r="M33" s="2" t="s">
        <v>35</v>
      </c>
      <c r="N33" s="3">
        <f>SUM(N2:N32)</f>
        <v>6</v>
      </c>
      <c r="O33" s="4" t="s">
        <v>35</v>
      </c>
      <c r="P33" s="5">
        <f>SUM(P2:P32)</f>
        <v>6</v>
      </c>
      <c r="Q33" s="2" t="s">
        <v>35</v>
      </c>
      <c r="R33" s="3">
        <f>SUM(R2:R32)</f>
        <v>6</v>
      </c>
      <c r="S33" s="4" t="s">
        <v>35</v>
      </c>
      <c r="T33" s="5">
        <f>SUM(T2:T32)</f>
        <v>6</v>
      </c>
      <c r="U33" s="2" t="s">
        <v>35</v>
      </c>
      <c r="V33" s="3">
        <f>SUM(V2:V32)</f>
        <v>6</v>
      </c>
      <c r="W33" s="4" t="s">
        <v>35</v>
      </c>
      <c r="X33" s="5">
        <f>SUM(X2:X32)</f>
        <v>6</v>
      </c>
      <c r="Y33" s="2" t="s">
        <v>35</v>
      </c>
      <c r="Z33" s="3">
        <f>SUM(Z2:Z32)</f>
        <v>25</v>
      </c>
      <c r="AA33" s="4" t="s">
        <v>35</v>
      </c>
      <c r="AB33" s="5">
        <f>SUM(AB2:AB32)</f>
        <v>6</v>
      </c>
      <c r="AC33" s="2" t="s">
        <v>35</v>
      </c>
      <c r="AD33" s="3">
        <f>SUM(AD2:AD32)</f>
        <v>6</v>
      </c>
      <c r="AE33" s="4" t="s">
        <v>35</v>
      </c>
      <c r="AF33" s="5">
        <f>SUM(AF2:AF32)</f>
        <v>8</v>
      </c>
      <c r="AG33" s="2" t="s">
        <v>35</v>
      </c>
      <c r="AH33" s="3">
        <f>SUM(AH2:AH32)</f>
        <v>6</v>
      </c>
      <c r="AI33" s="4" t="s">
        <v>35</v>
      </c>
      <c r="AJ33" s="5">
        <f>SUM(AJ2:AJ32)</f>
        <v>8</v>
      </c>
      <c r="AK33" s="2" t="s">
        <v>35</v>
      </c>
      <c r="AL33" s="3">
        <f>SUM(AL2:AL32)</f>
        <v>6</v>
      </c>
      <c r="AM33" s="4" t="s">
        <v>35</v>
      </c>
      <c r="AN33" s="5">
        <f>SUM(AN2:AN32)</f>
        <v>19</v>
      </c>
      <c r="AO33" s="2" t="s">
        <v>35</v>
      </c>
      <c r="AP33" s="3">
        <f>SUM(AP2:AP32)</f>
        <v>6</v>
      </c>
      <c r="AQ33" s="4" t="s">
        <v>35</v>
      </c>
      <c r="AR33" s="5">
        <f>SUM(AR2:AR32)</f>
        <v>4</v>
      </c>
      <c r="AS33" s="2" t="s">
        <v>35</v>
      </c>
      <c r="AT33" s="3">
        <f>SUM(AT2:AT32)</f>
        <v>6</v>
      </c>
      <c r="AU33" s="4" t="s">
        <v>35</v>
      </c>
      <c r="AV33" s="5">
        <f>SUM(AV2:AV32)</f>
        <v>4</v>
      </c>
      <c r="AW33" s="2" t="s">
        <v>35</v>
      </c>
      <c r="AX33" s="3">
        <f>SUM(AX2:AX32)</f>
        <v>4</v>
      </c>
      <c r="AY33" s="4" t="s">
        <v>35</v>
      </c>
      <c r="AZ33" s="5">
        <f>SUM(AZ2:AZ32)</f>
        <v>4</v>
      </c>
      <c r="BA33" s="2" t="s">
        <v>35</v>
      </c>
      <c r="BB33" s="3">
        <f>SUM(BB2:BB32)</f>
        <v>2</v>
      </c>
    </row>
  </sheetData>
  <mergeCells count="27">
    <mergeCell ref="BA1:BB1"/>
    <mergeCell ref="U1:V1"/>
    <mergeCell ref="AW1:AX1"/>
    <mergeCell ref="AY1:AZ1"/>
    <mergeCell ref="I1:J1"/>
    <mergeCell ref="G1:H1"/>
    <mergeCell ref="S1:T1"/>
    <mergeCell ref="AU1:AV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O1:AP1"/>
    <mergeCell ref="AE1:AF1"/>
    <mergeCell ref="AQ1:AR1"/>
    <mergeCell ref="AG1:AH1"/>
    <mergeCell ref="AI1:AJ1"/>
    <mergeCell ref="AA1:AB1"/>
    <mergeCell ref="AS1:AT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Англ. язык</vt:lpstr>
      <vt:lpstr>Астрономия</vt:lpstr>
      <vt:lpstr>Биология</vt:lpstr>
      <vt:lpstr>География</vt:lpstr>
      <vt:lpstr>ИИ</vt:lpstr>
      <vt:lpstr>Инф.без.</vt:lpstr>
      <vt:lpstr>Искусство</vt:lpstr>
      <vt:lpstr>Исп.язык</vt:lpstr>
      <vt:lpstr>История</vt:lpstr>
      <vt:lpstr>Итал.язык</vt:lpstr>
      <vt:lpstr>Кит.язык</vt:lpstr>
      <vt:lpstr>Литература</vt:lpstr>
      <vt:lpstr>Математика</vt:lpstr>
      <vt:lpstr>Нем.язык</vt:lpstr>
      <vt:lpstr>ОБЗР</vt:lpstr>
      <vt:lpstr>Обществознание</vt:lpstr>
      <vt:lpstr>Право</vt:lpstr>
      <vt:lpstr>Программирование</vt:lpstr>
      <vt:lpstr>Робототехника</vt:lpstr>
      <vt:lpstr>Русский язык</vt:lpstr>
      <vt:lpstr>Труд</vt:lpstr>
      <vt:lpstr>Физ.культура</vt:lpstr>
      <vt:lpstr>Физика</vt:lpstr>
      <vt:lpstr>Фран.язык</vt:lpstr>
      <vt:lpstr>Химия</vt:lpstr>
      <vt:lpstr>Экология</vt:lpstr>
      <vt:lpstr>Экономика</vt:lpstr>
      <vt:lpstr>Статистика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2026-01-06T19:50:17Z</dcterms:created>
  <dcterms:modified xsi:type="dcterms:W3CDTF">2026-01-06T19:52:16Z</dcterms:modified>
</cp:coreProperties>
</file>