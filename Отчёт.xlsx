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Мои документы\Мой рабочий стол\Олимпиады\"/>
    </mc:Choice>
  </mc:AlternateContent>
  <bookViews>
    <workbookView xWindow="0" yWindow="0" windowWidth="28800" windowHeight="12435" firstSheet="18" activeTab="27"/>
  </bookViews>
  <sheets>
    <sheet name="Англ. язык" sheetId="1" r:id="rId1"/>
    <sheet name="Астрономия" sheetId="2" r:id="rId2"/>
    <sheet name="Биология" sheetId="3" r:id="rId3"/>
    <sheet name="География" sheetId="4" r:id="rId4"/>
    <sheet name="ИИ" sheetId="5" r:id="rId5"/>
    <sheet name="Инф.без." sheetId="6" r:id="rId6"/>
    <sheet name="Искусство" sheetId="7" r:id="rId7"/>
    <sheet name="Исп.язык" sheetId="8" r:id="rId8"/>
    <sheet name="История" sheetId="9" r:id="rId9"/>
    <sheet name="Итал.язык" sheetId="10" r:id="rId10"/>
    <sheet name="Кит.язык" sheetId="11" r:id="rId11"/>
    <sheet name="Литература" sheetId="12" r:id="rId12"/>
    <sheet name="Математика" sheetId="13" r:id="rId13"/>
    <sheet name="Нем.язык" sheetId="14" r:id="rId14"/>
    <sheet name="ОБЗР" sheetId="15" r:id="rId15"/>
    <sheet name="Обществознание" sheetId="16" r:id="rId16"/>
    <sheet name="Право" sheetId="17" r:id="rId17"/>
    <sheet name="Программирование" sheetId="18" r:id="rId18"/>
    <sheet name="Робототехника" sheetId="19" r:id="rId19"/>
    <sheet name="Русский язык" sheetId="20" r:id="rId20"/>
    <sheet name="Труд" sheetId="21" r:id="rId21"/>
    <sheet name="Физ.культура" sheetId="22" r:id="rId22"/>
    <sheet name="Физика" sheetId="23" r:id="rId23"/>
    <sheet name="Фран.язык" sheetId="24" r:id="rId24"/>
    <sheet name="Химия" sheetId="25" r:id="rId25"/>
    <sheet name="Экология" sheetId="26" r:id="rId26"/>
    <sheet name="Экономика" sheetId="27" r:id="rId27"/>
    <sheet name="Статистика" sheetId="28" r:id="rId28"/>
  </sheets>
  <calcPr calcId="152511"/>
</workbook>
</file>

<file path=xl/calcChain.xml><?xml version="1.0" encoding="utf-8"?>
<calcChain xmlns="http://schemas.openxmlformats.org/spreadsheetml/2006/main">
  <c r="E31" i="27" l="1"/>
  <c r="AB31" i="28" s="1"/>
  <c r="E30" i="27"/>
  <c r="AB30" i="28" s="1"/>
  <c r="E29" i="27"/>
  <c r="AB29" i="28" s="1"/>
  <c r="E28" i="27"/>
  <c r="AB28" i="28" s="1"/>
  <c r="E27" i="27"/>
  <c r="AB27" i="28" s="1"/>
  <c r="E26" i="27"/>
  <c r="AB26" i="28" s="1"/>
  <c r="E25" i="27"/>
  <c r="AB25" i="28" s="1"/>
  <c r="E24" i="27"/>
  <c r="AB24" i="28" s="1"/>
  <c r="E23" i="27"/>
  <c r="AB23" i="28" s="1"/>
  <c r="E22" i="27"/>
  <c r="AB22" i="28" s="1"/>
  <c r="E21" i="27"/>
  <c r="AB21" i="28" s="1"/>
  <c r="E20" i="27"/>
  <c r="AB20" i="28" s="1"/>
  <c r="E19" i="27"/>
  <c r="AB19" i="28" s="1"/>
  <c r="E18" i="27"/>
  <c r="AB18" i="28" s="1"/>
  <c r="E17" i="27"/>
  <c r="AB17" i="28" s="1"/>
  <c r="E16" i="27"/>
  <c r="AB16" i="28" s="1"/>
  <c r="E15" i="27"/>
  <c r="AB15" i="28" s="1"/>
  <c r="E14" i="27"/>
  <c r="AB14" i="28" s="1"/>
  <c r="E13" i="27"/>
  <c r="AB13" i="28" s="1"/>
  <c r="E12" i="27"/>
  <c r="AB12" i="28" s="1"/>
  <c r="E11" i="27"/>
  <c r="AB11" i="28" s="1"/>
  <c r="E10" i="27"/>
  <c r="AB10" i="28" s="1"/>
  <c r="E9" i="27"/>
  <c r="AB9" i="28" s="1"/>
  <c r="E8" i="27"/>
  <c r="AB8" i="28" s="1"/>
  <c r="E7" i="27"/>
  <c r="AB7" i="28" s="1"/>
  <c r="E6" i="27"/>
  <c r="AB6" i="28" s="1"/>
  <c r="E5" i="27"/>
  <c r="AB5" i="28" s="1"/>
  <c r="E4" i="27"/>
  <c r="AB4" i="28" s="1"/>
  <c r="E3" i="27"/>
  <c r="AB3" i="28" s="1"/>
  <c r="E2" i="27"/>
  <c r="E32" i="27" s="1"/>
  <c r="E31" i="26"/>
  <c r="AA31" i="28" s="1"/>
  <c r="E30" i="26"/>
  <c r="AA30" i="28" s="1"/>
  <c r="E29" i="26"/>
  <c r="AA29" i="28" s="1"/>
  <c r="E28" i="26"/>
  <c r="AA28" i="28" s="1"/>
  <c r="E27" i="26"/>
  <c r="AA27" i="28" s="1"/>
  <c r="E26" i="26"/>
  <c r="AA26" i="28" s="1"/>
  <c r="E25" i="26"/>
  <c r="AA25" i="28" s="1"/>
  <c r="E24" i="26"/>
  <c r="AA24" i="28" s="1"/>
  <c r="E23" i="26"/>
  <c r="AA23" i="28" s="1"/>
  <c r="E22" i="26"/>
  <c r="AA22" i="28" s="1"/>
  <c r="E21" i="26"/>
  <c r="AA21" i="28" s="1"/>
  <c r="E20" i="26"/>
  <c r="AA20" i="28" s="1"/>
  <c r="E19" i="26"/>
  <c r="AA19" i="28" s="1"/>
  <c r="E18" i="26"/>
  <c r="AA18" i="28" s="1"/>
  <c r="E17" i="26"/>
  <c r="AA17" i="28" s="1"/>
  <c r="E16" i="26"/>
  <c r="AA16" i="28" s="1"/>
  <c r="E15" i="26"/>
  <c r="AA15" i="28" s="1"/>
  <c r="E14" i="26"/>
  <c r="AA14" i="28" s="1"/>
  <c r="E13" i="26"/>
  <c r="AA13" i="28" s="1"/>
  <c r="E12" i="26"/>
  <c r="AA12" i="28" s="1"/>
  <c r="E11" i="26"/>
  <c r="AA11" i="28" s="1"/>
  <c r="E10" i="26"/>
  <c r="AA10" i="28" s="1"/>
  <c r="E9" i="26"/>
  <c r="AA9" i="28" s="1"/>
  <c r="E8" i="26"/>
  <c r="AA8" i="28" s="1"/>
  <c r="E7" i="26"/>
  <c r="AA7" i="28" s="1"/>
  <c r="E6" i="26"/>
  <c r="AA6" i="28" s="1"/>
  <c r="E5" i="26"/>
  <c r="AA5" i="28" s="1"/>
  <c r="E4" i="26"/>
  <c r="AA4" i="28" s="1"/>
  <c r="E3" i="26"/>
  <c r="AA3" i="28" s="1"/>
  <c r="E2" i="26"/>
  <c r="E32" i="26" s="1"/>
  <c r="E31" i="25"/>
  <c r="Z31" i="28" s="1"/>
  <c r="E30" i="25"/>
  <c r="Z30" i="28" s="1"/>
  <c r="E29" i="25"/>
  <c r="Z29" i="28" s="1"/>
  <c r="E28" i="25"/>
  <c r="Z28" i="28" s="1"/>
  <c r="E27" i="25"/>
  <c r="Z27" i="28" s="1"/>
  <c r="E26" i="25"/>
  <c r="Z26" i="28" s="1"/>
  <c r="E25" i="25"/>
  <c r="Z25" i="28" s="1"/>
  <c r="E24" i="25"/>
  <c r="Z24" i="28" s="1"/>
  <c r="E23" i="25"/>
  <c r="Z23" i="28" s="1"/>
  <c r="E22" i="25"/>
  <c r="Z22" i="28" s="1"/>
  <c r="E21" i="25"/>
  <c r="Z21" i="28" s="1"/>
  <c r="E20" i="25"/>
  <c r="Z20" i="28" s="1"/>
  <c r="E19" i="25"/>
  <c r="Z19" i="28" s="1"/>
  <c r="E18" i="25"/>
  <c r="Z18" i="28" s="1"/>
  <c r="E17" i="25"/>
  <c r="Z17" i="28" s="1"/>
  <c r="E16" i="25"/>
  <c r="Z16" i="28" s="1"/>
  <c r="E15" i="25"/>
  <c r="Z15" i="28" s="1"/>
  <c r="E14" i="25"/>
  <c r="Z14" i="28" s="1"/>
  <c r="E13" i="25"/>
  <c r="Z13" i="28" s="1"/>
  <c r="E12" i="25"/>
  <c r="Z12" i="28" s="1"/>
  <c r="E11" i="25"/>
  <c r="Z11" i="28" s="1"/>
  <c r="E10" i="25"/>
  <c r="Z10" i="28" s="1"/>
  <c r="E9" i="25"/>
  <c r="Z9" i="28" s="1"/>
  <c r="E8" i="25"/>
  <c r="Z8" i="28" s="1"/>
  <c r="E7" i="25"/>
  <c r="Z7" i="28" s="1"/>
  <c r="E6" i="25"/>
  <c r="Z6" i="28" s="1"/>
  <c r="E5" i="25"/>
  <c r="Z5" i="28" s="1"/>
  <c r="E4" i="25"/>
  <c r="Z4" i="28" s="1"/>
  <c r="E3" i="25"/>
  <c r="Z3" i="28" s="1"/>
  <c r="E2" i="25"/>
  <c r="Z2" i="28" s="1"/>
  <c r="E31" i="24"/>
  <c r="Y31" i="28" s="1"/>
  <c r="E30" i="24"/>
  <c r="Y30" i="28" s="1"/>
  <c r="E29" i="24"/>
  <c r="Y29" i="28" s="1"/>
  <c r="E28" i="24"/>
  <c r="Y28" i="28" s="1"/>
  <c r="E27" i="24"/>
  <c r="Y27" i="28" s="1"/>
  <c r="E26" i="24"/>
  <c r="Y26" i="28" s="1"/>
  <c r="E25" i="24"/>
  <c r="Y25" i="28" s="1"/>
  <c r="E24" i="24"/>
  <c r="Y24" i="28" s="1"/>
  <c r="E23" i="24"/>
  <c r="Y23" i="28" s="1"/>
  <c r="E22" i="24"/>
  <c r="Y22" i="28" s="1"/>
  <c r="E21" i="24"/>
  <c r="Y21" i="28" s="1"/>
  <c r="E20" i="24"/>
  <c r="Y20" i="28" s="1"/>
  <c r="E19" i="24"/>
  <c r="Y19" i="28" s="1"/>
  <c r="E18" i="24"/>
  <c r="Y18" i="28" s="1"/>
  <c r="E17" i="24"/>
  <c r="Y17" i="28" s="1"/>
  <c r="E16" i="24"/>
  <c r="Y16" i="28" s="1"/>
  <c r="E15" i="24"/>
  <c r="Y15" i="28" s="1"/>
  <c r="E14" i="24"/>
  <c r="Y14" i="28" s="1"/>
  <c r="E13" i="24"/>
  <c r="Y13" i="28" s="1"/>
  <c r="E12" i="24"/>
  <c r="Y12" i="28" s="1"/>
  <c r="E11" i="24"/>
  <c r="Y11" i="28" s="1"/>
  <c r="E10" i="24"/>
  <c r="Y10" i="28" s="1"/>
  <c r="E9" i="24"/>
  <c r="Y9" i="28" s="1"/>
  <c r="E8" i="24"/>
  <c r="Y8" i="28" s="1"/>
  <c r="E7" i="24"/>
  <c r="Y7" i="28" s="1"/>
  <c r="E6" i="24"/>
  <c r="Y6" i="28" s="1"/>
  <c r="E5" i="24"/>
  <c r="Y5" i="28" s="1"/>
  <c r="E4" i="24"/>
  <c r="Y4" i="28" s="1"/>
  <c r="E3" i="24"/>
  <c r="Y3" i="28" s="1"/>
  <c r="E2" i="24"/>
  <c r="Y2" i="28" s="1"/>
  <c r="E31" i="23"/>
  <c r="X31" i="28" s="1"/>
  <c r="E30" i="23"/>
  <c r="X30" i="28" s="1"/>
  <c r="E29" i="23"/>
  <c r="X29" i="28" s="1"/>
  <c r="E28" i="23"/>
  <c r="X28" i="28" s="1"/>
  <c r="E27" i="23"/>
  <c r="X27" i="28" s="1"/>
  <c r="E26" i="23"/>
  <c r="X26" i="28" s="1"/>
  <c r="E25" i="23"/>
  <c r="X25" i="28" s="1"/>
  <c r="E24" i="23"/>
  <c r="X24" i="28" s="1"/>
  <c r="E23" i="23"/>
  <c r="X23" i="28" s="1"/>
  <c r="E22" i="23"/>
  <c r="X22" i="28" s="1"/>
  <c r="E21" i="23"/>
  <c r="X21" i="28" s="1"/>
  <c r="E20" i="23"/>
  <c r="X20" i="28" s="1"/>
  <c r="E19" i="23"/>
  <c r="X19" i="28" s="1"/>
  <c r="E18" i="23"/>
  <c r="X18" i="28" s="1"/>
  <c r="E17" i="23"/>
  <c r="X17" i="28" s="1"/>
  <c r="E16" i="23"/>
  <c r="X16" i="28" s="1"/>
  <c r="E15" i="23"/>
  <c r="X15" i="28" s="1"/>
  <c r="E14" i="23"/>
  <c r="X14" i="28" s="1"/>
  <c r="E13" i="23"/>
  <c r="X13" i="28" s="1"/>
  <c r="E12" i="23"/>
  <c r="X12" i="28" s="1"/>
  <c r="E11" i="23"/>
  <c r="X11" i="28" s="1"/>
  <c r="E10" i="23"/>
  <c r="X10" i="28" s="1"/>
  <c r="E9" i="23"/>
  <c r="X9" i="28" s="1"/>
  <c r="E8" i="23"/>
  <c r="X8" i="28" s="1"/>
  <c r="E7" i="23"/>
  <c r="X7" i="28" s="1"/>
  <c r="E6" i="23"/>
  <c r="X6" i="28" s="1"/>
  <c r="E5" i="23"/>
  <c r="X5" i="28" s="1"/>
  <c r="E4" i="23"/>
  <c r="X4" i="28" s="1"/>
  <c r="E3" i="23"/>
  <c r="X3" i="28" s="1"/>
  <c r="E2" i="23"/>
  <c r="X2" i="28" s="1"/>
  <c r="E31" i="22"/>
  <c r="W31" i="28" s="1"/>
  <c r="E30" i="22"/>
  <c r="W30" i="28" s="1"/>
  <c r="E29" i="22"/>
  <c r="W29" i="28" s="1"/>
  <c r="E28" i="22"/>
  <c r="W28" i="28" s="1"/>
  <c r="E27" i="22"/>
  <c r="W27" i="28" s="1"/>
  <c r="E26" i="22"/>
  <c r="W26" i="28" s="1"/>
  <c r="E25" i="22"/>
  <c r="W25" i="28" s="1"/>
  <c r="E24" i="22"/>
  <c r="W24" i="28" s="1"/>
  <c r="E23" i="22"/>
  <c r="W23" i="28" s="1"/>
  <c r="E22" i="22"/>
  <c r="W22" i="28" s="1"/>
  <c r="E21" i="22"/>
  <c r="W21" i="28" s="1"/>
  <c r="E20" i="22"/>
  <c r="W20" i="28" s="1"/>
  <c r="E19" i="22"/>
  <c r="W19" i="28" s="1"/>
  <c r="E18" i="22"/>
  <c r="W18" i="28" s="1"/>
  <c r="E17" i="22"/>
  <c r="W17" i="28" s="1"/>
  <c r="E16" i="22"/>
  <c r="W16" i="28" s="1"/>
  <c r="E15" i="22"/>
  <c r="W15" i="28" s="1"/>
  <c r="E14" i="22"/>
  <c r="W14" i="28" s="1"/>
  <c r="E13" i="22"/>
  <c r="W13" i="28" s="1"/>
  <c r="E12" i="22"/>
  <c r="W12" i="28" s="1"/>
  <c r="E11" i="22"/>
  <c r="W11" i="28" s="1"/>
  <c r="E10" i="22"/>
  <c r="W10" i="28" s="1"/>
  <c r="E9" i="22"/>
  <c r="W9" i="28" s="1"/>
  <c r="E8" i="22"/>
  <c r="W8" i="28" s="1"/>
  <c r="E7" i="22"/>
  <c r="W7" i="28" s="1"/>
  <c r="E6" i="22"/>
  <c r="W6" i="28" s="1"/>
  <c r="E5" i="22"/>
  <c r="W5" i="28" s="1"/>
  <c r="E4" i="22"/>
  <c r="W4" i="28" s="1"/>
  <c r="E3" i="22"/>
  <c r="W3" i="28" s="1"/>
  <c r="E2" i="22"/>
  <c r="W2" i="28" s="1"/>
  <c r="E31" i="21"/>
  <c r="V31" i="28" s="1"/>
  <c r="E30" i="21"/>
  <c r="V30" i="28" s="1"/>
  <c r="E29" i="21"/>
  <c r="V29" i="28" s="1"/>
  <c r="E28" i="21"/>
  <c r="V28" i="28" s="1"/>
  <c r="E27" i="21"/>
  <c r="V27" i="28" s="1"/>
  <c r="E26" i="21"/>
  <c r="V26" i="28" s="1"/>
  <c r="E25" i="21"/>
  <c r="V25" i="28" s="1"/>
  <c r="E24" i="21"/>
  <c r="V24" i="28" s="1"/>
  <c r="E23" i="21"/>
  <c r="V23" i="28" s="1"/>
  <c r="E22" i="21"/>
  <c r="V22" i="28" s="1"/>
  <c r="E21" i="21"/>
  <c r="V21" i="28" s="1"/>
  <c r="E20" i="21"/>
  <c r="V20" i="28" s="1"/>
  <c r="E19" i="21"/>
  <c r="V19" i="28" s="1"/>
  <c r="E18" i="21"/>
  <c r="V18" i="28" s="1"/>
  <c r="E17" i="21"/>
  <c r="V17" i="28" s="1"/>
  <c r="E16" i="21"/>
  <c r="V16" i="28" s="1"/>
  <c r="E15" i="21"/>
  <c r="V15" i="28" s="1"/>
  <c r="E14" i="21"/>
  <c r="V14" i="28" s="1"/>
  <c r="E13" i="21"/>
  <c r="V13" i="28" s="1"/>
  <c r="E12" i="21"/>
  <c r="V12" i="28" s="1"/>
  <c r="E11" i="21"/>
  <c r="V11" i="28" s="1"/>
  <c r="E10" i="21"/>
  <c r="V10" i="28" s="1"/>
  <c r="E9" i="21"/>
  <c r="V9" i="28" s="1"/>
  <c r="E8" i="21"/>
  <c r="V8" i="28" s="1"/>
  <c r="E7" i="21"/>
  <c r="V7" i="28" s="1"/>
  <c r="E6" i="21"/>
  <c r="V6" i="28" s="1"/>
  <c r="E5" i="21"/>
  <c r="V5" i="28" s="1"/>
  <c r="E4" i="21"/>
  <c r="V4" i="28" s="1"/>
  <c r="E3" i="21"/>
  <c r="V3" i="28" s="1"/>
  <c r="E2" i="21"/>
  <c r="V2" i="28" s="1"/>
  <c r="E31" i="20"/>
  <c r="U31" i="28" s="1"/>
  <c r="E30" i="20"/>
  <c r="U30" i="28" s="1"/>
  <c r="E29" i="20"/>
  <c r="U29" i="28" s="1"/>
  <c r="E28" i="20"/>
  <c r="U28" i="28" s="1"/>
  <c r="E27" i="20"/>
  <c r="U27" i="28" s="1"/>
  <c r="E26" i="20"/>
  <c r="U26" i="28" s="1"/>
  <c r="E25" i="20"/>
  <c r="U25" i="28" s="1"/>
  <c r="E24" i="20"/>
  <c r="U24" i="28" s="1"/>
  <c r="E23" i="20"/>
  <c r="U23" i="28" s="1"/>
  <c r="E22" i="20"/>
  <c r="U22" i="28" s="1"/>
  <c r="E21" i="20"/>
  <c r="U21" i="28" s="1"/>
  <c r="E20" i="20"/>
  <c r="U20" i="28" s="1"/>
  <c r="E19" i="20"/>
  <c r="U19" i="28" s="1"/>
  <c r="E18" i="20"/>
  <c r="U18" i="28" s="1"/>
  <c r="E17" i="20"/>
  <c r="U17" i="28" s="1"/>
  <c r="E16" i="20"/>
  <c r="U16" i="28" s="1"/>
  <c r="E15" i="20"/>
  <c r="U15" i="28" s="1"/>
  <c r="E14" i="20"/>
  <c r="U14" i="28" s="1"/>
  <c r="E13" i="20"/>
  <c r="U13" i="28" s="1"/>
  <c r="E12" i="20"/>
  <c r="U12" i="28" s="1"/>
  <c r="E11" i="20"/>
  <c r="U11" i="28" s="1"/>
  <c r="E10" i="20"/>
  <c r="U10" i="28" s="1"/>
  <c r="E9" i="20"/>
  <c r="U9" i="28" s="1"/>
  <c r="E8" i="20"/>
  <c r="U8" i="28" s="1"/>
  <c r="E7" i="20"/>
  <c r="U7" i="28" s="1"/>
  <c r="E6" i="20"/>
  <c r="U6" i="28" s="1"/>
  <c r="E5" i="20"/>
  <c r="U5" i="28" s="1"/>
  <c r="E4" i="20"/>
  <c r="U4" i="28" s="1"/>
  <c r="E3" i="20"/>
  <c r="U3" i="28" s="1"/>
  <c r="E2" i="20"/>
  <c r="E32" i="20" s="1"/>
  <c r="E31" i="19"/>
  <c r="T31" i="28" s="1"/>
  <c r="E30" i="19"/>
  <c r="T30" i="28" s="1"/>
  <c r="E29" i="19"/>
  <c r="T29" i="28" s="1"/>
  <c r="E28" i="19"/>
  <c r="T28" i="28" s="1"/>
  <c r="E27" i="19"/>
  <c r="T27" i="28" s="1"/>
  <c r="E26" i="19"/>
  <c r="T26" i="28" s="1"/>
  <c r="E25" i="19"/>
  <c r="T25" i="28" s="1"/>
  <c r="E24" i="19"/>
  <c r="T24" i="28" s="1"/>
  <c r="E23" i="19"/>
  <c r="T23" i="28" s="1"/>
  <c r="E22" i="19"/>
  <c r="T22" i="28" s="1"/>
  <c r="E21" i="19"/>
  <c r="T21" i="28" s="1"/>
  <c r="E20" i="19"/>
  <c r="T20" i="28" s="1"/>
  <c r="E19" i="19"/>
  <c r="T19" i="28" s="1"/>
  <c r="E18" i="19"/>
  <c r="T18" i="28" s="1"/>
  <c r="E17" i="19"/>
  <c r="T17" i="28" s="1"/>
  <c r="E16" i="19"/>
  <c r="T16" i="28" s="1"/>
  <c r="E15" i="19"/>
  <c r="T15" i="28" s="1"/>
  <c r="E14" i="19"/>
  <c r="T14" i="28" s="1"/>
  <c r="E13" i="19"/>
  <c r="T13" i="28" s="1"/>
  <c r="E12" i="19"/>
  <c r="T12" i="28" s="1"/>
  <c r="E11" i="19"/>
  <c r="T11" i="28" s="1"/>
  <c r="E10" i="19"/>
  <c r="T10" i="28" s="1"/>
  <c r="E9" i="19"/>
  <c r="T9" i="28" s="1"/>
  <c r="E8" i="19"/>
  <c r="T8" i="28" s="1"/>
  <c r="E7" i="19"/>
  <c r="T7" i="28" s="1"/>
  <c r="E6" i="19"/>
  <c r="T6" i="28" s="1"/>
  <c r="E5" i="19"/>
  <c r="T5" i="28" s="1"/>
  <c r="E4" i="19"/>
  <c r="T4" i="28" s="1"/>
  <c r="E3" i="19"/>
  <c r="T3" i="28" s="1"/>
  <c r="E2" i="19"/>
  <c r="T2" i="28" s="1"/>
  <c r="E31" i="18"/>
  <c r="S31" i="28" s="1"/>
  <c r="E30" i="18"/>
  <c r="S30" i="28" s="1"/>
  <c r="E29" i="18"/>
  <c r="S29" i="28" s="1"/>
  <c r="E28" i="18"/>
  <c r="S28" i="28" s="1"/>
  <c r="E27" i="18"/>
  <c r="S27" i="28" s="1"/>
  <c r="E26" i="18"/>
  <c r="S26" i="28" s="1"/>
  <c r="E25" i="18"/>
  <c r="S25" i="28" s="1"/>
  <c r="E24" i="18"/>
  <c r="S24" i="28" s="1"/>
  <c r="E23" i="18"/>
  <c r="S23" i="28" s="1"/>
  <c r="E22" i="18"/>
  <c r="S22" i="28" s="1"/>
  <c r="E21" i="18"/>
  <c r="S21" i="28" s="1"/>
  <c r="E20" i="18"/>
  <c r="S20" i="28" s="1"/>
  <c r="E19" i="18"/>
  <c r="S19" i="28" s="1"/>
  <c r="E18" i="18"/>
  <c r="S18" i="28" s="1"/>
  <c r="E17" i="18"/>
  <c r="S17" i="28" s="1"/>
  <c r="E16" i="18"/>
  <c r="S16" i="28" s="1"/>
  <c r="E15" i="18"/>
  <c r="S15" i="28" s="1"/>
  <c r="E14" i="18"/>
  <c r="S14" i="28" s="1"/>
  <c r="E13" i="18"/>
  <c r="S13" i="28" s="1"/>
  <c r="E12" i="18"/>
  <c r="S12" i="28" s="1"/>
  <c r="E11" i="18"/>
  <c r="S11" i="28" s="1"/>
  <c r="E10" i="18"/>
  <c r="S10" i="28" s="1"/>
  <c r="E9" i="18"/>
  <c r="S9" i="28" s="1"/>
  <c r="E8" i="18"/>
  <c r="S8" i="28" s="1"/>
  <c r="E7" i="18"/>
  <c r="S7" i="28" s="1"/>
  <c r="E6" i="18"/>
  <c r="S6" i="28" s="1"/>
  <c r="E5" i="18"/>
  <c r="S5" i="28" s="1"/>
  <c r="E4" i="18"/>
  <c r="S4" i="28" s="1"/>
  <c r="E3" i="18"/>
  <c r="S3" i="28" s="1"/>
  <c r="E2" i="18"/>
  <c r="S2" i="28" s="1"/>
  <c r="E31" i="17"/>
  <c r="R31" i="28" s="1"/>
  <c r="E30" i="17"/>
  <c r="R30" i="28" s="1"/>
  <c r="E29" i="17"/>
  <c r="R29" i="28" s="1"/>
  <c r="E28" i="17"/>
  <c r="R28" i="28" s="1"/>
  <c r="E27" i="17"/>
  <c r="R27" i="28" s="1"/>
  <c r="E26" i="17"/>
  <c r="R26" i="28" s="1"/>
  <c r="E25" i="17"/>
  <c r="R25" i="28" s="1"/>
  <c r="E24" i="17"/>
  <c r="R24" i="28" s="1"/>
  <c r="E23" i="17"/>
  <c r="R23" i="28" s="1"/>
  <c r="E22" i="17"/>
  <c r="R22" i="28" s="1"/>
  <c r="E21" i="17"/>
  <c r="R21" i="28" s="1"/>
  <c r="E20" i="17"/>
  <c r="R20" i="28" s="1"/>
  <c r="E19" i="17"/>
  <c r="R19" i="28" s="1"/>
  <c r="E18" i="17"/>
  <c r="R18" i="28" s="1"/>
  <c r="E17" i="17"/>
  <c r="R17" i="28" s="1"/>
  <c r="E16" i="17"/>
  <c r="R16" i="28" s="1"/>
  <c r="E15" i="17"/>
  <c r="R15" i="28" s="1"/>
  <c r="E14" i="17"/>
  <c r="R14" i="28" s="1"/>
  <c r="E13" i="17"/>
  <c r="R13" i="28" s="1"/>
  <c r="E12" i="17"/>
  <c r="R12" i="28" s="1"/>
  <c r="E11" i="17"/>
  <c r="R11" i="28" s="1"/>
  <c r="E10" i="17"/>
  <c r="R10" i="28" s="1"/>
  <c r="E9" i="17"/>
  <c r="R9" i="28" s="1"/>
  <c r="E8" i="17"/>
  <c r="R8" i="28" s="1"/>
  <c r="E7" i="17"/>
  <c r="R7" i="28" s="1"/>
  <c r="E6" i="17"/>
  <c r="R6" i="28" s="1"/>
  <c r="E5" i="17"/>
  <c r="R5" i="28" s="1"/>
  <c r="E4" i="17"/>
  <c r="R4" i="28" s="1"/>
  <c r="E3" i="17"/>
  <c r="R3" i="28" s="1"/>
  <c r="E2" i="17"/>
  <c r="R2" i="28" s="1"/>
  <c r="E31" i="16"/>
  <c r="Q31" i="28" s="1"/>
  <c r="E30" i="16"/>
  <c r="Q30" i="28" s="1"/>
  <c r="E29" i="16"/>
  <c r="Q29" i="28" s="1"/>
  <c r="E28" i="16"/>
  <c r="Q28" i="28" s="1"/>
  <c r="E27" i="16"/>
  <c r="Q27" i="28" s="1"/>
  <c r="E26" i="16"/>
  <c r="Q26" i="28" s="1"/>
  <c r="E25" i="16"/>
  <c r="Q25" i="28" s="1"/>
  <c r="E24" i="16"/>
  <c r="Q24" i="28" s="1"/>
  <c r="E23" i="16"/>
  <c r="Q23" i="28" s="1"/>
  <c r="E22" i="16"/>
  <c r="Q22" i="28" s="1"/>
  <c r="E21" i="16"/>
  <c r="Q21" i="28" s="1"/>
  <c r="E20" i="16"/>
  <c r="Q20" i="28" s="1"/>
  <c r="E19" i="16"/>
  <c r="Q19" i="28" s="1"/>
  <c r="E18" i="16"/>
  <c r="Q18" i="28" s="1"/>
  <c r="E17" i="16"/>
  <c r="Q17" i="28" s="1"/>
  <c r="E16" i="16"/>
  <c r="Q16" i="28" s="1"/>
  <c r="E15" i="16"/>
  <c r="Q15" i="28" s="1"/>
  <c r="E14" i="16"/>
  <c r="Q14" i="28" s="1"/>
  <c r="E13" i="16"/>
  <c r="Q13" i="28" s="1"/>
  <c r="E12" i="16"/>
  <c r="Q12" i="28" s="1"/>
  <c r="E11" i="16"/>
  <c r="Q11" i="28" s="1"/>
  <c r="E10" i="16"/>
  <c r="Q10" i="28" s="1"/>
  <c r="E9" i="16"/>
  <c r="Q9" i="28" s="1"/>
  <c r="E8" i="16"/>
  <c r="Q8" i="28" s="1"/>
  <c r="E7" i="16"/>
  <c r="Q7" i="28" s="1"/>
  <c r="E6" i="16"/>
  <c r="Q6" i="28" s="1"/>
  <c r="E5" i="16"/>
  <c r="Q5" i="28" s="1"/>
  <c r="E4" i="16"/>
  <c r="Q4" i="28" s="1"/>
  <c r="E3" i="16"/>
  <c r="Q3" i="28" s="1"/>
  <c r="E2" i="16"/>
  <c r="E32" i="16" s="1"/>
  <c r="E31" i="15"/>
  <c r="P31" i="28" s="1"/>
  <c r="E30" i="15"/>
  <c r="P30" i="28" s="1"/>
  <c r="E29" i="15"/>
  <c r="P29" i="28" s="1"/>
  <c r="E28" i="15"/>
  <c r="P28" i="28" s="1"/>
  <c r="E27" i="15"/>
  <c r="P27" i="28" s="1"/>
  <c r="E26" i="15"/>
  <c r="P26" i="28" s="1"/>
  <c r="E25" i="15"/>
  <c r="P25" i="28" s="1"/>
  <c r="E24" i="15"/>
  <c r="P24" i="28" s="1"/>
  <c r="E23" i="15"/>
  <c r="P23" i="28" s="1"/>
  <c r="E22" i="15"/>
  <c r="P22" i="28" s="1"/>
  <c r="E21" i="15"/>
  <c r="P21" i="28" s="1"/>
  <c r="E20" i="15"/>
  <c r="P20" i="28" s="1"/>
  <c r="E19" i="15"/>
  <c r="P19" i="28" s="1"/>
  <c r="E18" i="15"/>
  <c r="P18" i="28" s="1"/>
  <c r="E17" i="15"/>
  <c r="P17" i="28" s="1"/>
  <c r="E16" i="15"/>
  <c r="P16" i="28" s="1"/>
  <c r="E15" i="15"/>
  <c r="P15" i="28" s="1"/>
  <c r="E14" i="15"/>
  <c r="P14" i="28" s="1"/>
  <c r="E13" i="15"/>
  <c r="P13" i="28" s="1"/>
  <c r="E12" i="15"/>
  <c r="P12" i="28" s="1"/>
  <c r="E11" i="15"/>
  <c r="P11" i="28" s="1"/>
  <c r="E10" i="15"/>
  <c r="P10" i="28" s="1"/>
  <c r="E9" i="15"/>
  <c r="P9" i="28" s="1"/>
  <c r="E8" i="15"/>
  <c r="P8" i="28" s="1"/>
  <c r="E7" i="15"/>
  <c r="P7" i="28" s="1"/>
  <c r="E6" i="15"/>
  <c r="P6" i="28" s="1"/>
  <c r="E5" i="15"/>
  <c r="P5" i="28" s="1"/>
  <c r="E4" i="15"/>
  <c r="P4" i="28" s="1"/>
  <c r="E3" i="15"/>
  <c r="P3" i="28" s="1"/>
  <c r="E2" i="15"/>
  <c r="E32" i="15" s="1"/>
  <c r="E31" i="14"/>
  <c r="O31" i="28" s="1"/>
  <c r="E30" i="14"/>
  <c r="O30" i="28" s="1"/>
  <c r="E29" i="14"/>
  <c r="O29" i="28" s="1"/>
  <c r="E28" i="14"/>
  <c r="O28" i="28" s="1"/>
  <c r="E27" i="14"/>
  <c r="O27" i="28" s="1"/>
  <c r="E26" i="14"/>
  <c r="O26" i="28" s="1"/>
  <c r="E25" i="14"/>
  <c r="O25" i="28" s="1"/>
  <c r="E24" i="14"/>
  <c r="O24" i="28" s="1"/>
  <c r="E23" i="14"/>
  <c r="O23" i="28" s="1"/>
  <c r="E22" i="14"/>
  <c r="O22" i="28" s="1"/>
  <c r="E21" i="14"/>
  <c r="O21" i="28" s="1"/>
  <c r="E20" i="14"/>
  <c r="O20" i="28" s="1"/>
  <c r="E19" i="14"/>
  <c r="O19" i="28" s="1"/>
  <c r="E18" i="14"/>
  <c r="O18" i="28" s="1"/>
  <c r="E17" i="14"/>
  <c r="O17" i="28" s="1"/>
  <c r="E16" i="14"/>
  <c r="O16" i="28" s="1"/>
  <c r="E15" i="14"/>
  <c r="O15" i="28" s="1"/>
  <c r="E14" i="14"/>
  <c r="O14" i="28" s="1"/>
  <c r="E13" i="14"/>
  <c r="O13" i="28" s="1"/>
  <c r="E12" i="14"/>
  <c r="O12" i="28" s="1"/>
  <c r="E11" i="14"/>
  <c r="O11" i="28" s="1"/>
  <c r="E10" i="14"/>
  <c r="O10" i="28" s="1"/>
  <c r="E9" i="14"/>
  <c r="O9" i="28" s="1"/>
  <c r="E8" i="14"/>
  <c r="O8" i="28" s="1"/>
  <c r="E7" i="14"/>
  <c r="O7" i="28" s="1"/>
  <c r="E6" i="14"/>
  <c r="O6" i="28" s="1"/>
  <c r="E5" i="14"/>
  <c r="O5" i="28" s="1"/>
  <c r="E4" i="14"/>
  <c r="O4" i="28" s="1"/>
  <c r="E3" i="14"/>
  <c r="O3" i="28" s="1"/>
  <c r="E2" i="14"/>
  <c r="E32" i="14" s="1"/>
  <c r="E31" i="13"/>
  <c r="N31" i="28" s="1"/>
  <c r="E30" i="13"/>
  <c r="N30" i="28" s="1"/>
  <c r="E29" i="13"/>
  <c r="N29" i="28" s="1"/>
  <c r="E28" i="13"/>
  <c r="N28" i="28" s="1"/>
  <c r="E27" i="13"/>
  <c r="N27" i="28" s="1"/>
  <c r="E26" i="13"/>
  <c r="N26" i="28" s="1"/>
  <c r="E25" i="13"/>
  <c r="N25" i="28" s="1"/>
  <c r="E24" i="13"/>
  <c r="N24" i="28" s="1"/>
  <c r="E23" i="13"/>
  <c r="N23" i="28" s="1"/>
  <c r="E22" i="13"/>
  <c r="N22" i="28" s="1"/>
  <c r="E21" i="13"/>
  <c r="N21" i="28" s="1"/>
  <c r="E20" i="13"/>
  <c r="N20" i="28" s="1"/>
  <c r="E19" i="13"/>
  <c r="N19" i="28" s="1"/>
  <c r="E18" i="13"/>
  <c r="N18" i="28" s="1"/>
  <c r="E17" i="13"/>
  <c r="N17" i="28" s="1"/>
  <c r="E16" i="13"/>
  <c r="N16" i="28" s="1"/>
  <c r="E15" i="13"/>
  <c r="N15" i="28" s="1"/>
  <c r="E14" i="13"/>
  <c r="N14" i="28" s="1"/>
  <c r="E13" i="13"/>
  <c r="N13" i="28" s="1"/>
  <c r="E12" i="13"/>
  <c r="N12" i="28" s="1"/>
  <c r="E11" i="13"/>
  <c r="N11" i="28" s="1"/>
  <c r="E10" i="13"/>
  <c r="N10" i="28" s="1"/>
  <c r="E9" i="13"/>
  <c r="N9" i="28" s="1"/>
  <c r="E8" i="13"/>
  <c r="N8" i="28" s="1"/>
  <c r="E7" i="13"/>
  <c r="N7" i="28" s="1"/>
  <c r="E6" i="13"/>
  <c r="N6" i="28" s="1"/>
  <c r="E5" i="13"/>
  <c r="N5" i="28" s="1"/>
  <c r="E4" i="13"/>
  <c r="N4" i="28" s="1"/>
  <c r="E3" i="13"/>
  <c r="N3" i="28" s="1"/>
  <c r="E2" i="13"/>
  <c r="N2" i="28" s="1"/>
  <c r="E31" i="12"/>
  <c r="M31" i="28" s="1"/>
  <c r="E30" i="12"/>
  <c r="M30" i="28" s="1"/>
  <c r="E29" i="12"/>
  <c r="M29" i="28" s="1"/>
  <c r="E28" i="12"/>
  <c r="M28" i="28" s="1"/>
  <c r="E27" i="12"/>
  <c r="M27" i="28" s="1"/>
  <c r="E26" i="12"/>
  <c r="M26" i="28" s="1"/>
  <c r="E25" i="12"/>
  <c r="M25" i="28" s="1"/>
  <c r="E24" i="12"/>
  <c r="M24" i="28" s="1"/>
  <c r="E23" i="12"/>
  <c r="M23" i="28" s="1"/>
  <c r="E22" i="12"/>
  <c r="M22" i="28" s="1"/>
  <c r="E21" i="12"/>
  <c r="M21" i="28" s="1"/>
  <c r="E20" i="12"/>
  <c r="M20" i="28" s="1"/>
  <c r="E19" i="12"/>
  <c r="M19" i="28" s="1"/>
  <c r="E18" i="12"/>
  <c r="M18" i="28" s="1"/>
  <c r="E17" i="12"/>
  <c r="M17" i="28" s="1"/>
  <c r="E16" i="12"/>
  <c r="M16" i="28" s="1"/>
  <c r="E15" i="12"/>
  <c r="M15" i="28" s="1"/>
  <c r="E14" i="12"/>
  <c r="M14" i="28" s="1"/>
  <c r="E13" i="12"/>
  <c r="M13" i="28" s="1"/>
  <c r="E12" i="12"/>
  <c r="M12" i="28" s="1"/>
  <c r="E11" i="12"/>
  <c r="M11" i="28" s="1"/>
  <c r="E10" i="12"/>
  <c r="M10" i="28" s="1"/>
  <c r="E9" i="12"/>
  <c r="M9" i="28" s="1"/>
  <c r="E8" i="12"/>
  <c r="M8" i="28" s="1"/>
  <c r="E7" i="12"/>
  <c r="M7" i="28" s="1"/>
  <c r="E6" i="12"/>
  <c r="M6" i="28" s="1"/>
  <c r="E5" i="12"/>
  <c r="M5" i="28" s="1"/>
  <c r="E4" i="12"/>
  <c r="M4" i="28" s="1"/>
  <c r="E3" i="12"/>
  <c r="M3" i="28" s="1"/>
  <c r="E2" i="12"/>
  <c r="M2" i="28" s="1"/>
  <c r="E31" i="11"/>
  <c r="L31" i="28" s="1"/>
  <c r="E30" i="11"/>
  <c r="L30" i="28" s="1"/>
  <c r="E29" i="11"/>
  <c r="L29" i="28" s="1"/>
  <c r="E28" i="11"/>
  <c r="L28" i="28" s="1"/>
  <c r="E27" i="11"/>
  <c r="L27" i="28" s="1"/>
  <c r="E26" i="11"/>
  <c r="L26" i="28" s="1"/>
  <c r="E25" i="11"/>
  <c r="L25" i="28" s="1"/>
  <c r="E24" i="11"/>
  <c r="L24" i="28" s="1"/>
  <c r="E23" i="11"/>
  <c r="L23" i="28" s="1"/>
  <c r="E22" i="11"/>
  <c r="L22" i="28" s="1"/>
  <c r="E21" i="11"/>
  <c r="L21" i="28" s="1"/>
  <c r="E20" i="11"/>
  <c r="L20" i="28" s="1"/>
  <c r="E19" i="11"/>
  <c r="L19" i="28" s="1"/>
  <c r="E18" i="11"/>
  <c r="L18" i="28" s="1"/>
  <c r="E17" i="11"/>
  <c r="L17" i="28" s="1"/>
  <c r="E16" i="11"/>
  <c r="L16" i="28" s="1"/>
  <c r="E15" i="11"/>
  <c r="L15" i="28" s="1"/>
  <c r="E14" i="11"/>
  <c r="L14" i="28" s="1"/>
  <c r="E13" i="11"/>
  <c r="L13" i="28" s="1"/>
  <c r="E12" i="11"/>
  <c r="L12" i="28" s="1"/>
  <c r="E11" i="11"/>
  <c r="L11" i="28" s="1"/>
  <c r="E10" i="11"/>
  <c r="L10" i="28" s="1"/>
  <c r="E9" i="11"/>
  <c r="L9" i="28" s="1"/>
  <c r="E8" i="11"/>
  <c r="L8" i="28" s="1"/>
  <c r="E7" i="11"/>
  <c r="L7" i="28" s="1"/>
  <c r="E6" i="11"/>
  <c r="L6" i="28" s="1"/>
  <c r="E5" i="11"/>
  <c r="L5" i="28" s="1"/>
  <c r="E4" i="11"/>
  <c r="L4" i="28" s="1"/>
  <c r="E3" i="11"/>
  <c r="L3" i="28" s="1"/>
  <c r="E2" i="11"/>
  <c r="L2" i="28" s="1"/>
  <c r="E31" i="10"/>
  <c r="K31" i="28" s="1"/>
  <c r="E30" i="10"/>
  <c r="K30" i="28" s="1"/>
  <c r="E29" i="10"/>
  <c r="K29" i="28" s="1"/>
  <c r="E28" i="10"/>
  <c r="K28" i="28" s="1"/>
  <c r="E27" i="10"/>
  <c r="K27" i="28" s="1"/>
  <c r="E26" i="10"/>
  <c r="K26" i="28" s="1"/>
  <c r="E25" i="10"/>
  <c r="K25" i="28" s="1"/>
  <c r="E24" i="10"/>
  <c r="K24" i="28" s="1"/>
  <c r="E23" i="10"/>
  <c r="K23" i="28" s="1"/>
  <c r="E22" i="10"/>
  <c r="K22" i="28" s="1"/>
  <c r="E21" i="10"/>
  <c r="K21" i="28" s="1"/>
  <c r="E20" i="10"/>
  <c r="K20" i="28" s="1"/>
  <c r="E19" i="10"/>
  <c r="K19" i="28" s="1"/>
  <c r="E18" i="10"/>
  <c r="K18" i="28" s="1"/>
  <c r="E17" i="10"/>
  <c r="K17" i="28" s="1"/>
  <c r="E16" i="10"/>
  <c r="K16" i="28" s="1"/>
  <c r="E15" i="10"/>
  <c r="K15" i="28" s="1"/>
  <c r="E14" i="10"/>
  <c r="K14" i="28" s="1"/>
  <c r="E13" i="10"/>
  <c r="K13" i="28" s="1"/>
  <c r="E12" i="10"/>
  <c r="K12" i="28" s="1"/>
  <c r="E11" i="10"/>
  <c r="K11" i="28" s="1"/>
  <c r="E10" i="10"/>
  <c r="K10" i="28" s="1"/>
  <c r="E9" i="10"/>
  <c r="K9" i="28" s="1"/>
  <c r="E8" i="10"/>
  <c r="K8" i="28" s="1"/>
  <c r="E7" i="10"/>
  <c r="K7" i="28" s="1"/>
  <c r="E6" i="10"/>
  <c r="K6" i="28" s="1"/>
  <c r="E5" i="10"/>
  <c r="K5" i="28" s="1"/>
  <c r="E4" i="10"/>
  <c r="K4" i="28" s="1"/>
  <c r="E3" i="10"/>
  <c r="K3" i="28" s="1"/>
  <c r="E2" i="10"/>
  <c r="K2" i="28" s="1"/>
  <c r="E31" i="9"/>
  <c r="J31" i="28" s="1"/>
  <c r="E30" i="9"/>
  <c r="J30" i="28" s="1"/>
  <c r="E29" i="9"/>
  <c r="J29" i="28" s="1"/>
  <c r="E28" i="9"/>
  <c r="J28" i="28" s="1"/>
  <c r="E27" i="9"/>
  <c r="J27" i="28" s="1"/>
  <c r="E26" i="9"/>
  <c r="J26" i="28" s="1"/>
  <c r="E25" i="9"/>
  <c r="J25" i="28" s="1"/>
  <c r="E24" i="9"/>
  <c r="J24" i="28" s="1"/>
  <c r="E23" i="9"/>
  <c r="J23" i="28" s="1"/>
  <c r="E22" i="9"/>
  <c r="J22" i="28" s="1"/>
  <c r="E21" i="9"/>
  <c r="J21" i="28" s="1"/>
  <c r="E20" i="9"/>
  <c r="J20" i="28" s="1"/>
  <c r="E19" i="9"/>
  <c r="J19" i="28" s="1"/>
  <c r="E18" i="9"/>
  <c r="J18" i="28" s="1"/>
  <c r="E17" i="9"/>
  <c r="J17" i="28" s="1"/>
  <c r="E16" i="9"/>
  <c r="J16" i="28" s="1"/>
  <c r="E15" i="9"/>
  <c r="J15" i="28" s="1"/>
  <c r="E14" i="9"/>
  <c r="J14" i="28" s="1"/>
  <c r="E13" i="9"/>
  <c r="J13" i="28" s="1"/>
  <c r="E12" i="9"/>
  <c r="J12" i="28" s="1"/>
  <c r="E11" i="9"/>
  <c r="J11" i="28" s="1"/>
  <c r="E10" i="9"/>
  <c r="J10" i="28" s="1"/>
  <c r="E9" i="9"/>
  <c r="J9" i="28" s="1"/>
  <c r="E8" i="9"/>
  <c r="J8" i="28" s="1"/>
  <c r="E7" i="9"/>
  <c r="J7" i="28" s="1"/>
  <c r="E6" i="9"/>
  <c r="J6" i="28" s="1"/>
  <c r="E5" i="9"/>
  <c r="J5" i="28" s="1"/>
  <c r="E4" i="9"/>
  <c r="J4" i="28" s="1"/>
  <c r="E3" i="9"/>
  <c r="J3" i="28" s="1"/>
  <c r="E2" i="9"/>
  <c r="J2" i="28" s="1"/>
  <c r="E31" i="8"/>
  <c r="I31" i="28" s="1"/>
  <c r="E30" i="8"/>
  <c r="I30" i="28" s="1"/>
  <c r="E29" i="8"/>
  <c r="I29" i="28" s="1"/>
  <c r="E28" i="8"/>
  <c r="I28" i="28" s="1"/>
  <c r="E27" i="8"/>
  <c r="I27" i="28" s="1"/>
  <c r="E26" i="8"/>
  <c r="I26" i="28" s="1"/>
  <c r="E25" i="8"/>
  <c r="I25" i="28" s="1"/>
  <c r="E24" i="8"/>
  <c r="I24" i="28" s="1"/>
  <c r="E23" i="8"/>
  <c r="I23" i="28" s="1"/>
  <c r="E22" i="8"/>
  <c r="I22" i="28" s="1"/>
  <c r="E21" i="8"/>
  <c r="I21" i="28" s="1"/>
  <c r="E20" i="8"/>
  <c r="I20" i="28" s="1"/>
  <c r="E19" i="8"/>
  <c r="I19" i="28" s="1"/>
  <c r="E18" i="8"/>
  <c r="I18" i="28" s="1"/>
  <c r="E17" i="8"/>
  <c r="I17" i="28" s="1"/>
  <c r="E16" i="8"/>
  <c r="I16" i="28" s="1"/>
  <c r="E15" i="8"/>
  <c r="I15" i="28" s="1"/>
  <c r="E14" i="8"/>
  <c r="I14" i="28" s="1"/>
  <c r="E13" i="8"/>
  <c r="I13" i="28" s="1"/>
  <c r="E12" i="8"/>
  <c r="I12" i="28" s="1"/>
  <c r="E11" i="8"/>
  <c r="I11" i="28" s="1"/>
  <c r="E10" i="8"/>
  <c r="I10" i="28" s="1"/>
  <c r="E9" i="8"/>
  <c r="I9" i="28" s="1"/>
  <c r="E8" i="8"/>
  <c r="I8" i="28" s="1"/>
  <c r="E7" i="8"/>
  <c r="I7" i="28" s="1"/>
  <c r="E6" i="8"/>
  <c r="I6" i="28" s="1"/>
  <c r="E5" i="8"/>
  <c r="I5" i="28" s="1"/>
  <c r="E4" i="8"/>
  <c r="I4" i="28" s="1"/>
  <c r="E3" i="8"/>
  <c r="I3" i="28" s="1"/>
  <c r="E2" i="8"/>
  <c r="E32" i="8" s="1"/>
  <c r="E31" i="7"/>
  <c r="H31" i="28" s="1"/>
  <c r="E30" i="7"/>
  <c r="H30" i="28" s="1"/>
  <c r="E29" i="7"/>
  <c r="H29" i="28" s="1"/>
  <c r="E28" i="7"/>
  <c r="H28" i="28" s="1"/>
  <c r="E27" i="7"/>
  <c r="H27" i="28" s="1"/>
  <c r="E26" i="7"/>
  <c r="H26" i="28" s="1"/>
  <c r="E25" i="7"/>
  <c r="H25" i="28" s="1"/>
  <c r="E24" i="7"/>
  <c r="H24" i="28" s="1"/>
  <c r="E23" i="7"/>
  <c r="H23" i="28" s="1"/>
  <c r="E22" i="7"/>
  <c r="H22" i="28" s="1"/>
  <c r="E21" i="7"/>
  <c r="H21" i="28" s="1"/>
  <c r="E20" i="7"/>
  <c r="H20" i="28" s="1"/>
  <c r="E19" i="7"/>
  <c r="H19" i="28" s="1"/>
  <c r="E18" i="7"/>
  <c r="H18" i="28" s="1"/>
  <c r="E17" i="7"/>
  <c r="H17" i="28" s="1"/>
  <c r="E16" i="7"/>
  <c r="H16" i="28" s="1"/>
  <c r="E15" i="7"/>
  <c r="H15" i="28" s="1"/>
  <c r="E14" i="7"/>
  <c r="H14" i="28" s="1"/>
  <c r="E13" i="7"/>
  <c r="H13" i="28" s="1"/>
  <c r="E12" i="7"/>
  <c r="H12" i="28" s="1"/>
  <c r="E11" i="7"/>
  <c r="H11" i="28" s="1"/>
  <c r="E10" i="7"/>
  <c r="H10" i="28" s="1"/>
  <c r="E9" i="7"/>
  <c r="H9" i="28" s="1"/>
  <c r="E8" i="7"/>
  <c r="H8" i="28" s="1"/>
  <c r="E7" i="7"/>
  <c r="H7" i="28" s="1"/>
  <c r="E6" i="7"/>
  <c r="H6" i="28" s="1"/>
  <c r="E5" i="7"/>
  <c r="H5" i="28" s="1"/>
  <c r="E4" i="7"/>
  <c r="H4" i="28" s="1"/>
  <c r="E3" i="7"/>
  <c r="H3" i="28" s="1"/>
  <c r="E2" i="7"/>
  <c r="H2" i="28" s="1"/>
  <c r="E31" i="6"/>
  <c r="G31" i="28" s="1"/>
  <c r="E30" i="6"/>
  <c r="G30" i="28" s="1"/>
  <c r="E29" i="6"/>
  <c r="G29" i="28" s="1"/>
  <c r="E28" i="6"/>
  <c r="G28" i="28" s="1"/>
  <c r="E27" i="6"/>
  <c r="G27" i="28" s="1"/>
  <c r="E26" i="6"/>
  <c r="G26" i="28" s="1"/>
  <c r="E25" i="6"/>
  <c r="G25" i="28" s="1"/>
  <c r="E24" i="6"/>
  <c r="G24" i="28" s="1"/>
  <c r="E23" i="6"/>
  <c r="G23" i="28" s="1"/>
  <c r="E22" i="6"/>
  <c r="G22" i="28" s="1"/>
  <c r="E21" i="6"/>
  <c r="G21" i="28" s="1"/>
  <c r="E20" i="6"/>
  <c r="G20" i="28" s="1"/>
  <c r="E19" i="6"/>
  <c r="G19" i="28" s="1"/>
  <c r="E18" i="6"/>
  <c r="G18" i="28" s="1"/>
  <c r="E17" i="6"/>
  <c r="G17" i="28" s="1"/>
  <c r="E16" i="6"/>
  <c r="G16" i="28" s="1"/>
  <c r="E15" i="6"/>
  <c r="G15" i="28" s="1"/>
  <c r="E14" i="6"/>
  <c r="G14" i="28" s="1"/>
  <c r="E13" i="6"/>
  <c r="G13" i="28" s="1"/>
  <c r="E12" i="6"/>
  <c r="G12" i="28" s="1"/>
  <c r="E11" i="6"/>
  <c r="G11" i="28" s="1"/>
  <c r="E10" i="6"/>
  <c r="G10" i="28" s="1"/>
  <c r="E9" i="6"/>
  <c r="G9" i="28" s="1"/>
  <c r="E8" i="6"/>
  <c r="G8" i="28" s="1"/>
  <c r="E7" i="6"/>
  <c r="G7" i="28" s="1"/>
  <c r="E6" i="6"/>
  <c r="G6" i="28" s="1"/>
  <c r="E5" i="6"/>
  <c r="G5" i="28" s="1"/>
  <c r="E4" i="6"/>
  <c r="G4" i="28" s="1"/>
  <c r="E3" i="6"/>
  <c r="G3" i="28" s="1"/>
  <c r="E2" i="6"/>
  <c r="G2" i="28" s="1"/>
  <c r="E31" i="5"/>
  <c r="F31" i="28" s="1"/>
  <c r="E30" i="5"/>
  <c r="F30" i="28" s="1"/>
  <c r="E29" i="5"/>
  <c r="F29" i="28" s="1"/>
  <c r="E28" i="5"/>
  <c r="F28" i="28" s="1"/>
  <c r="E27" i="5"/>
  <c r="F27" i="28" s="1"/>
  <c r="E26" i="5"/>
  <c r="F26" i="28" s="1"/>
  <c r="E25" i="5"/>
  <c r="F25" i="28" s="1"/>
  <c r="E24" i="5"/>
  <c r="F24" i="28" s="1"/>
  <c r="E23" i="5"/>
  <c r="F23" i="28" s="1"/>
  <c r="E22" i="5"/>
  <c r="F22" i="28" s="1"/>
  <c r="E21" i="5"/>
  <c r="F21" i="28" s="1"/>
  <c r="E20" i="5"/>
  <c r="F20" i="28" s="1"/>
  <c r="E19" i="5"/>
  <c r="F19" i="28" s="1"/>
  <c r="E18" i="5"/>
  <c r="F18" i="28" s="1"/>
  <c r="E17" i="5"/>
  <c r="F17" i="28" s="1"/>
  <c r="E16" i="5"/>
  <c r="F16" i="28" s="1"/>
  <c r="E15" i="5"/>
  <c r="F15" i="28" s="1"/>
  <c r="E14" i="5"/>
  <c r="F14" i="28" s="1"/>
  <c r="E13" i="5"/>
  <c r="F13" i="28" s="1"/>
  <c r="E12" i="5"/>
  <c r="F12" i="28" s="1"/>
  <c r="E11" i="5"/>
  <c r="F11" i="28" s="1"/>
  <c r="E10" i="5"/>
  <c r="F10" i="28" s="1"/>
  <c r="E9" i="5"/>
  <c r="F9" i="28" s="1"/>
  <c r="E8" i="5"/>
  <c r="F8" i="28" s="1"/>
  <c r="E7" i="5"/>
  <c r="F7" i="28" s="1"/>
  <c r="E6" i="5"/>
  <c r="F6" i="28" s="1"/>
  <c r="E5" i="5"/>
  <c r="F5" i="28" s="1"/>
  <c r="E4" i="5"/>
  <c r="F4" i="28" s="1"/>
  <c r="E3" i="5"/>
  <c r="F3" i="28" s="1"/>
  <c r="E2" i="5"/>
  <c r="F2" i="28" s="1"/>
  <c r="E31" i="4"/>
  <c r="E31" i="28" s="1"/>
  <c r="E30" i="4"/>
  <c r="E30" i="28" s="1"/>
  <c r="E29" i="4"/>
  <c r="E29" i="28" s="1"/>
  <c r="E28" i="4"/>
  <c r="E28" i="28" s="1"/>
  <c r="E27" i="4"/>
  <c r="E27" i="28" s="1"/>
  <c r="E26" i="4"/>
  <c r="E26" i="28" s="1"/>
  <c r="E25" i="4"/>
  <c r="E25" i="28" s="1"/>
  <c r="E24" i="4"/>
  <c r="E24" i="28" s="1"/>
  <c r="E23" i="4"/>
  <c r="E23" i="28" s="1"/>
  <c r="E22" i="4"/>
  <c r="E22" i="28" s="1"/>
  <c r="E21" i="4"/>
  <c r="E21" i="28" s="1"/>
  <c r="E20" i="4"/>
  <c r="E20" i="28" s="1"/>
  <c r="E19" i="4"/>
  <c r="E19" i="28" s="1"/>
  <c r="E18" i="4"/>
  <c r="E18" i="28" s="1"/>
  <c r="E17" i="4"/>
  <c r="E17" i="28" s="1"/>
  <c r="E16" i="4"/>
  <c r="E16" i="28" s="1"/>
  <c r="E15" i="4"/>
  <c r="E15" i="28" s="1"/>
  <c r="E14" i="4"/>
  <c r="E14" i="28" s="1"/>
  <c r="E13" i="4"/>
  <c r="E13" i="28" s="1"/>
  <c r="E12" i="4"/>
  <c r="E12" i="28" s="1"/>
  <c r="E11" i="4"/>
  <c r="E11" i="28" s="1"/>
  <c r="E10" i="4"/>
  <c r="E10" i="28" s="1"/>
  <c r="E9" i="4"/>
  <c r="E9" i="28" s="1"/>
  <c r="E8" i="4"/>
  <c r="E8" i="28" s="1"/>
  <c r="E7" i="4"/>
  <c r="E7" i="28" s="1"/>
  <c r="E6" i="4"/>
  <c r="E6" i="28" s="1"/>
  <c r="E5" i="4"/>
  <c r="E5" i="28" s="1"/>
  <c r="E4" i="4"/>
  <c r="E4" i="28" s="1"/>
  <c r="E3" i="4"/>
  <c r="E3" i="28" s="1"/>
  <c r="E2" i="4"/>
  <c r="E32" i="4" s="1"/>
  <c r="E31" i="3"/>
  <c r="D31" i="28" s="1"/>
  <c r="E30" i="3"/>
  <c r="D30" i="28" s="1"/>
  <c r="E29" i="3"/>
  <c r="D29" i="28" s="1"/>
  <c r="E28" i="3"/>
  <c r="D28" i="28" s="1"/>
  <c r="E27" i="3"/>
  <c r="D27" i="28" s="1"/>
  <c r="E26" i="3"/>
  <c r="D26" i="28" s="1"/>
  <c r="E25" i="3"/>
  <c r="D25" i="28" s="1"/>
  <c r="E24" i="3"/>
  <c r="D24" i="28" s="1"/>
  <c r="E23" i="3"/>
  <c r="D23" i="28" s="1"/>
  <c r="E22" i="3"/>
  <c r="D22" i="28" s="1"/>
  <c r="E21" i="3"/>
  <c r="D21" i="28" s="1"/>
  <c r="E20" i="3"/>
  <c r="D20" i="28" s="1"/>
  <c r="E19" i="3"/>
  <c r="D19" i="28" s="1"/>
  <c r="E18" i="3"/>
  <c r="D18" i="28" s="1"/>
  <c r="E17" i="3"/>
  <c r="D17" i="28" s="1"/>
  <c r="E16" i="3"/>
  <c r="D16" i="28" s="1"/>
  <c r="E15" i="3"/>
  <c r="D15" i="28" s="1"/>
  <c r="E14" i="3"/>
  <c r="D14" i="28" s="1"/>
  <c r="E13" i="3"/>
  <c r="D13" i="28" s="1"/>
  <c r="E12" i="3"/>
  <c r="D12" i="28" s="1"/>
  <c r="E11" i="3"/>
  <c r="D11" i="28" s="1"/>
  <c r="E10" i="3"/>
  <c r="D10" i="28" s="1"/>
  <c r="E9" i="3"/>
  <c r="D9" i="28" s="1"/>
  <c r="E8" i="3"/>
  <c r="D8" i="28" s="1"/>
  <c r="E7" i="3"/>
  <c r="D7" i="28" s="1"/>
  <c r="E6" i="3"/>
  <c r="D6" i="28" s="1"/>
  <c r="E5" i="3"/>
  <c r="D5" i="28" s="1"/>
  <c r="E4" i="3"/>
  <c r="D4" i="28" s="1"/>
  <c r="E3" i="3"/>
  <c r="D3" i="28" s="1"/>
  <c r="E2" i="3"/>
  <c r="E32" i="3" s="1"/>
  <c r="E31" i="2"/>
  <c r="C31" i="28" s="1"/>
  <c r="E30" i="2"/>
  <c r="C30" i="28" s="1"/>
  <c r="E29" i="2"/>
  <c r="C29" i="28" s="1"/>
  <c r="E28" i="2"/>
  <c r="C28" i="28" s="1"/>
  <c r="E27" i="2"/>
  <c r="C27" i="28" s="1"/>
  <c r="E26" i="2"/>
  <c r="C26" i="28" s="1"/>
  <c r="E25" i="2"/>
  <c r="C25" i="28" s="1"/>
  <c r="E24" i="2"/>
  <c r="C24" i="28" s="1"/>
  <c r="E23" i="2"/>
  <c r="C23" i="28" s="1"/>
  <c r="E22" i="2"/>
  <c r="C22" i="28" s="1"/>
  <c r="E21" i="2"/>
  <c r="C21" i="28" s="1"/>
  <c r="E20" i="2"/>
  <c r="C20" i="28" s="1"/>
  <c r="E19" i="2"/>
  <c r="C19" i="28" s="1"/>
  <c r="E18" i="2"/>
  <c r="C18" i="28" s="1"/>
  <c r="E17" i="2"/>
  <c r="C17" i="28" s="1"/>
  <c r="E16" i="2"/>
  <c r="C16" i="28" s="1"/>
  <c r="E15" i="2"/>
  <c r="C15" i="28" s="1"/>
  <c r="E14" i="2"/>
  <c r="C14" i="28" s="1"/>
  <c r="E13" i="2"/>
  <c r="C13" i="28" s="1"/>
  <c r="E12" i="2"/>
  <c r="C12" i="28" s="1"/>
  <c r="E11" i="2"/>
  <c r="C11" i="28" s="1"/>
  <c r="E10" i="2"/>
  <c r="C10" i="28" s="1"/>
  <c r="E9" i="2"/>
  <c r="C9" i="28" s="1"/>
  <c r="E8" i="2"/>
  <c r="C8" i="28" s="1"/>
  <c r="E7" i="2"/>
  <c r="C7" i="28" s="1"/>
  <c r="E6" i="2"/>
  <c r="C6" i="28" s="1"/>
  <c r="E5" i="2"/>
  <c r="C5" i="28" s="1"/>
  <c r="E4" i="2"/>
  <c r="C4" i="28" s="1"/>
  <c r="E3" i="2"/>
  <c r="C3" i="28" s="1"/>
  <c r="E2" i="2"/>
  <c r="E32" i="2" s="1"/>
  <c r="E31" i="1"/>
  <c r="B31" i="28" s="1"/>
  <c r="E30" i="1"/>
  <c r="B30" i="28" s="1"/>
  <c r="E29" i="1"/>
  <c r="B29" i="28" s="1"/>
  <c r="E28" i="1"/>
  <c r="B28" i="28" s="1"/>
  <c r="E27" i="1"/>
  <c r="B27" i="28" s="1"/>
  <c r="E26" i="1"/>
  <c r="B26" i="28" s="1"/>
  <c r="E25" i="1"/>
  <c r="B25" i="28" s="1"/>
  <c r="E24" i="1"/>
  <c r="B24" i="28" s="1"/>
  <c r="E23" i="1"/>
  <c r="B23" i="28" s="1"/>
  <c r="E22" i="1"/>
  <c r="B22" i="28" s="1"/>
  <c r="E21" i="1"/>
  <c r="B21" i="28" s="1"/>
  <c r="E20" i="1"/>
  <c r="B20" i="28" s="1"/>
  <c r="E19" i="1"/>
  <c r="B19" i="28" s="1"/>
  <c r="E18" i="1"/>
  <c r="B18" i="28" s="1"/>
  <c r="E17" i="1"/>
  <c r="B17" i="28" s="1"/>
  <c r="E16" i="1"/>
  <c r="B16" i="28" s="1"/>
  <c r="E15" i="1"/>
  <c r="B15" i="28" s="1"/>
  <c r="E14" i="1"/>
  <c r="B14" i="28" s="1"/>
  <c r="E13" i="1"/>
  <c r="B13" i="28" s="1"/>
  <c r="E12" i="1"/>
  <c r="B12" i="28" s="1"/>
  <c r="E11" i="1"/>
  <c r="B11" i="28" s="1"/>
  <c r="E10" i="1"/>
  <c r="B10" i="28" s="1"/>
  <c r="E9" i="1"/>
  <c r="B9" i="28" s="1"/>
  <c r="E8" i="1"/>
  <c r="B8" i="28" s="1"/>
  <c r="E7" i="1"/>
  <c r="E32" i="1" s="1"/>
  <c r="E6" i="1"/>
  <c r="B6" i="28" s="1"/>
  <c r="E5" i="1"/>
  <c r="B5" i="28" s="1"/>
  <c r="E4" i="1"/>
  <c r="B4" i="28" s="1"/>
  <c r="E3" i="1"/>
  <c r="B3" i="28" s="1"/>
  <c r="E2" i="1"/>
  <c r="B2" i="28" s="1"/>
  <c r="K33" i="28" l="1"/>
  <c r="K32" i="28"/>
  <c r="M33" i="28"/>
  <c r="M32" i="28"/>
  <c r="S32" i="28"/>
  <c r="S33" i="28"/>
  <c r="W33" i="28"/>
  <c r="W32" i="28"/>
  <c r="Y33" i="28"/>
  <c r="Y32" i="28"/>
  <c r="G32" i="28"/>
  <c r="G33" i="28"/>
  <c r="R32" i="28"/>
  <c r="R33" i="28"/>
  <c r="T33" i="28"/>
  <c r="T32" i="28"/>
  <c r="V33" i="28"/>
  <c r="V32" i="28"/>
  <c r="X33" i="28"/>
  <c r="X32" i="28"/>
  <c r="Z33" i="28"/>
  <c r="Z32" i="28"/>
  <c r="N33" i="28"/>
  <c r="N32" i="28"/>
  <c r="H33" i="28"/>
  <c r="H32" i="28"/>
  <c r="L33" i="28"/>
  <c r="L32" i="28"/>
  <c r="J33" i="28"/>
  <c r="J32" i="28"/>
  <c r="F32" i="28"/>
  <c r="F33" i="28"/>
  <c r="E32" i="10"/>
  <c r="E32" i="22"/>
  <c r="E32" i="13"/>
  <c r="E32" i="25"/>
  <c r="E32" i="5"/>
  <c r="E32" i="17"/>
  <c r="C2" i="28"/>
  <c r="O2" i="28"/>
  <c r="AA2" i="28"/>
  <c r="E32" i="12"/>
  <c r="E32" i="24"/>
  <c r="D2" i="28"/>
  <c r="P2" i="28"/>
  <c r="AB2" i="28"/>
  <c r="E32" i="7"/>
  <c r="E32" i="19"/>
  <c r="E2" i="28"/>
  <c r="Q2" i="28"/>
  <c r="B7" i="28"/>
  <c r="B33" i="28" s="1"/>
  <c r="E32" i="9"/>
  <c r="E32" i="21"/>
  <c r="E32" i="18"/>
  <c r="E32" i="11"/>
  <c r="E32" i="23"/>
  <c r="I2" i="28"/>
  <c r="U2" i="28"/>
  <c r="E32" i="6"/>
  <c r="P33" i="28" l="1"/>
  <c r="P32" i="28"/>
  <c r="U33" i="28"/>
  <c r="U32" i="28"/>
  <c r="AB33" i="28"/>
  <c r="AB32" i="28"/>
  <c r="AA33" i="28"/>
  <c r="AA32" i="28"/>
  <c r="O33" i="28"/>
  <c r="O32" i="28"/>
  <c r="D33" i="28"/>
  <c r="D32" i="28"/>
  <c r="C33" i="28"/>
  <c r="C32" i="28"/>
  <c r="Q32" i="28"/>
  <c r="Q33" i="28"/>
  <c r="E32" i="28"/>
  <c r="E33" i="28"/>
  <c r="B32" i="28"/>
  <c r="I33" i="28"/>
  <c r="I32" i="28"/>
</calcChain>
</file>

<file path=xl/sharedStrings.xml><?xml version="1.0" encoding="utf-8"?>
<sst xmlns="http://schemas.openxmlformats.org/spreadsheetml/2006/main" count="1391" uniqueCount="155">
  <si>
    <t>Класс</t>
  </si>
  <si>
    <t>Ученик</t>
  </si>
  <si>
    <t>Кол-во</t>
  </si>
  <si>
    <t>5 В</t>
  </si>
  <si>
    <t>Гусев Александр Юрьевич</t>
  </si>
  <si>
    <t>4 А</t>
  </si>
  <si>
    <t>8 А</t>
  </si>
  <si>
    <t>Архипов Дмитрий Алексеевич</t>
  </si>
  <si>
    <t>4 Б</t>
  </si>
  <si>
    <t>Баженова Екатерина Григорьевна</t>
  </si>
  <si>
    <t>4 В</t>
  </si>
  <si>
    <t>Слушкина Ксения Викторовна</t>
  </si>
  <si>
    <t>4 Г</t>
  </si>
  <si>
    <t>Степанова Василиса Антоновна</t>
  </si>
  <si>
    <t>4 Д</t>
  </si>
  <si>
    <t>10 А</t>
  </si>
  <si>
    <t>Аброськина Риана Александровна</t>
  </si>
  <si>
    <t>5 А</t>
  </si>
  <si>
    <t>Рупасов Михаил Иванович</t>
  </si>
  <si>
    <t>5 Б</t>
  </si>
  <si>
    <t>5 Г</t>
  </si>
  <si>
    <t>5 Д</t>
  </si>
  <si>
    <t>6 А</t>
  </si>
  <si>
    <t>6 Б</t>
  </si>
  <si>
    <t>6 В</t>
  </si>
  <si>
    <t>6 Г</t>
  </si>
  <si>
    <t>6 Д</t>
  </si>
  <si>
    <t>7 А</t>
  </si>
  <si>
    <t>7 Б</t>
  </si>
  <si>
    <t>7 В</t>
  </si>
  <si>
    <t>7 Г</t>
  </si>
  <si>
    <t>8 Б</t>
  </si>
  <si>
    <t>8 В</t>
  </si>
  <si>
    <t>9 А</t>
  </si>
  <si>
    <t>9 Б</t>
  </si>
  <si>
    <t>9 В</t>
  </si>
  <si>
    <t>9 Г</t>
  </si>
  <si>
    <t>10 Б</t>
  </si>
  <si>
    <t>11 А</t>
  </si>
  <si>
    <t>11 Б</t>
  </si>
  <si>
    <t xml:space="preserve">Всего: </t>
  </si>
  <si>
    <t>Суслова Анастасия Олеговна</t>
  </si>
  <si>
    <t>Терехин Иван Евгеньевич</t>
  </si>
  <si>
    <t>Анисимова София Александровна</t>
  </si>
  <si>
    <t>Рабчевский Владимир Дмитриевич</t>
  </si>
  <si>
    <t>Ручьев Яков Максимович</t>
  </si>
  <si>
    <t>Коршунов Кирилл Дмитриевич</t>
  </si>
  <si>
    <t>Батырова Маргарита Максимовна</t>
  </si>
  <si>
    <t>Белугин Денис Олегович</t>
  </si>
  <si>
    <t>Артемов Тимофей Андреевич</t>
  </si>
  <si>
    <t>Тыжинский Михаил Сергеевич</t>
  </si>
  <si>
    <t>Хабитов Владислав Динарович</t>
  </si>
  <si>
    <t>Кривцов Владислав Евгеньевич</t>
  </si>
  <si>
    <t>Брилев Никита Сергеевич</t>
  </si>
  <si>
    <t>Галич Алёна Вячеславовна</t>
  </si>
  <si>
    <t>Хайдарова Ксения Сергеевна</t>
  </si>
  <si>
    <t>Чурманова Карина Денисовна</t>
  </si>
  <si>
    <t>РЫЖКОВА ПОЛИНА ИЛЬИНИЧНА</t>
  </si>
  <si>
    <t>Рыжакова Софья Дмитриевна</t>
  </si>
  <si>
    <t>Дедюхин Георгий Александрович</t>
  </si>
  <si>
    <t>Дягилев Игорь Вадимович</t>
  </si>
  <si>
    <t>Воробьёв Артём Константинович</t>
  </si>
  <si>
    <t>Островецкий Иван Александрович</t>
  </si>
  <si>
    <t>Елькин Дмитрий Михайлович</t>
  </si>
  <si>
    <t>Иванов Егор Евгеньевич</t>
  </si>
  <si>
    <t>Головченко Константин Сергеевич</t>
  </si>
  <si>
    <t>Садов Никита Александрович</t>
  </si>
  <si>
    <t>Серина Дарья Сергеевна</t>
  </si>
  <si>
    <t>Кульментьев Никита Данилович</t>
  </si>
  <si>
    <t>Лузянина Ксения Юрьевна</t>
  </si>
  <si>
    <t>Ожиганов Владислав Владимирович</t>
  </si>
  <si>
    <t>Алтапов Марк Евгеньевич</t>
  </si>
  <si>
    <t>Байдарова Камелия Умидовна</t>
  </si>
  <si>
    <t>Белоущенко Фёдор Максимович</t>
  </si>
  <si>
    <t>Воробьева Екатерина Михайловна</t>
  </si>
  <si>
    <t>Герасимчук Лев Александрович</t>
  </si>
  <si>
    <t>Гумерова Валентина Руслановна</t>
  </si>
  <si>
    <t>Иванов Семён Иванович</t>
  </si>
  <si>
    <t>Иванова Виолетта Викторовна</t>
  </si>
  <si>
    <t>Карле Мария Евгеньевна</t>
  </si>
  <si>
    <t>Красикова Анна Дмитриевна</t>
  </si>
  <si>
    <t>Митькина Ева Сергеевна</t>
  </si>
  <si>
    <t>Молостов Роман Андреевич</t>
  </si>
  <si>
    <t>Никонова Зоя Алексеевна</t>
  </si>
  <si>
    <t>Персанов Владимир Андреевич</t>
  </si>
  <si>
    <t>Плешков Даниил Сергеевич</t>
  </si>
  <si>
    <t>Стожков Алексей Дмитриевич</t>
  </si>
  <si>
    <t>Тельминов Иван Николаевич</t>
  </si>
  <si>
    <t>Уфимцева София Павловна</t>
  </si>
  <si>
    <t>Хавлин Данил Игоревич</t>
  </si>
  <si>
    <t>Чернейкова Дарья Константиновна</t>
  </si>
  <si>
    <t>Чирков Владислав Денисович</t>
  </si>
  <si>
    <t>Шадрин Михаил Сергеевич</t>
  </si>
  <si>
    <t>Максимов Вячеслав Владимирович</t>
  </si>
  <si>
    <t>Маренина Виктория Игоревна</t>
  </si>
  <si>
    <t>Симанович Виктория Александровна</t>
  </si>
  <si>
    <t>Мутузов Расул Зухайриевич</t>
  </si>
  <si>
    <t>Некрашевич Анна Владимировна</t>
  </si>
  <si>
    <t>Николаев Владислав Денисович</t>
  </si>
  <si>
    <t>Смирнова Вероника Антоновна</t>
  </si>
  <si>
    <t>Филатова Анжелика Дмитриевна</t>
  </si>
  <si>
    <t>Никонов Виктор Алексеевич</t>
  </si>
  <si>
    <t>Огородников Иван Дмитриевич</t>
  </si>
  <si>
    <t>Немкова Анастасия Денисовна</t>
  </si>
  <si>
    <t>Пантюхин Андрей Иванович</t>
  </si>
  <si>
    <t>Попова Алиса Алексеевна</t>
  </si>
  <si>
    <t>Мурындина Елена Сергеевна</t>
  </si>
  <si>
    <t>Дягилев Григорий Вадимович</t>
  </si>
  <si>
    <t>Ларионова Тина Игоревна</t>
  </si>
  <si>
    <t>Лопатина Юлия Алексеевна</t>
  </si>
  <si>
    <t>Мелвина Вероника Олеговна</t>
  </si>
  <si>
    <t>Мельник Демид Владимирович</t>
  </si>
  <si>
    <t>Русяев Артем Евгеньевич</t>
  </si>
  <si>
    <t>Рыбакова София Михайловна</t>
  </si>
  <si>
    <t>Чувакова Таисия Ивановна</t>
  </si>
  <si>
    <t>Потапов Данил Глебович</t>
  </si>
  <si>
    <t>Поторочин Михаил Ярославович</t>
  </si>
  <si>
    <t>Расковалов Ярослав Игоревич</t>
  </si>
  <si>
    <t>Романова Елизавета Антоновна</t>
  </si>
  <si>
    <t>Иванова Арина Сергеевна</t>
  </si>
  <si>
    <t>Русяева Елизавета Александровна</t>
  </si>
  <si>
    <t>Садыков Рустам Линарович</t>
  </si>
  <si>
    <t>Костарев Андрей Алексеевич</t>
  </si>
  <si>
    <t>Кривошапка Евгений Алексеевич</t>
  </si>
  <si>
    <t>Моськин Павел Сергеевич</t>
  </si>
  <si>
    <t>Кузнецова Анастасия Михайловна</t>
  </si>
  <si>
    <t>Англ. язык</t>
  </si>
  <si>
    <t>Астрономия</t>
  </si>
  <si>
    <t>Биология</t>
  </si>
  <si>
    <t>География</t>
  </si>
  <si>
    <t>ИИ</t>
  </si>
  <si>
    <t>Инф.без.</t>
  </si>
  <si>
    <t>Искусство</t>
  </si>
  <si>
    <t>Исп.язык</t>
  </si>
  <si>
    <t>История</t>
  </si>
  <si>
    <t>Итал.язык</t>
  </si>
  <si>
    <t>Кит.язык</t>
  </si>
  <si>
    <t>Литература</t>
  </si>
  <si>
    <t>Математика</t>
  </si>
  <si>
    <t>Нем.язык</t>
  </si>
  <si>
    <t>ОБЗР</t>
  </si>
  <si>
    <t>Обществознание</t>
  </si>
  <si>
    <t>Право</t>
  </si>
  <si>
    <t>Программирование</t>
  </si>
  <si>
    <t>Робототехника</t>
  </si>
  <si>
    <t>Русский язык</t>
  </si>
  <si>
    <t>Труд</t>
  </si>
  <si>
    <t>Физ.культура</t>
  </si>
  <si>
    <t>Физика</t>
  </si>
  <si>
    <t>Фран.язык</t>
  </si>
  <si>
    <t>Химия</t>
  </si>
  <si>
    <t>Экология</t>
  </si>
  <si>
    <t>Экономика</t>
  </si>
  <si>
    <t>Всего:</t>
  </si>
  <si>
    <t>% участия: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</si>
</sst>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textRotation="90"/>
    </xf>
    <xf numFmtId="0" fontId="1" fillId="0" borderId="1" xfId="0" applyFont="1" applyBorder="1" applyAlignment="1">
      <alignment horizontal="center" textRotation="90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7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9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11</v>
      </c>
      <c r="D5" t="s">
        <v>12</v>
      </c>
      <c r="E5">
        <f>COUNTIF(A:A, "4 Г")</f>
        <v>0</v>
      </c>
    </row>
    <row r="6" spans="1:5" x14ac:dyDescent="0.25">
      <c r="A6" t="s">
        <v>6</v>
      </c>
      <c r="B6" t="s">
        <v>13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16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18</v>
      </c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2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7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9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41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42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43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44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45</v>
      </c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46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47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48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41</v>
      </c>
      <c r="D5" t="s">
        <v>12</v>
      </c>
      <c r="E5">
        <f>COUNTIF(A:A, "4 Г")</f>
        <v>0</v>
      </c>
    </row>
    <row r="6" spans="1:5" x14ac:dyDescent="0.25">
      <c r="A6" t="s">
        <v>6</v>
      </c>
      <c r="B6" t="s">
        <v>42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49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44</v>
      </c>
      <c r="D8" t="s">
        <v>19</v>
      </c>
      <c r="E8">
        <f>COUNTIF(A:A, "5 Б")</f>
        <v>0</v>
      </c>
    </row>
    <row r="9" spans="1:5" x14ac:dyDescent="0.25">
      <c r="A9" t="s">
        <v>15</v>
      </c>
      <c r="B9" t="s">
        <v>45</v>
      </c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46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47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48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50</v>
      </c>
      <c r="D5" t="s">
        <v>12</v>
      </c>
      <c r="E5">
        <f>COUNTIF(A:A, "4 Г")</f>
        <v>0</v>
      </c>
    </row>
    <row r="6" spans="1:5" x14ac:dyDescent="0.25">
      <c r="A6" t="s">
        <v>6</v>
      </c>
      <c r="B6" t="s">
        <v>51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43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44</v>
      </c>
      <c r="D8" t="s">
        <v>19</v>
      </c>
      <c r="E8">
        <f>COUNTIF(A:A, "5 Б")</f>
        <v>0</v>
      </c>
    </row>
    <row r="9" spans="1:5" x14ac:dyDescent="0.25">
      <c r="A9" t="s">
        <v>15</v>
      </c>
      <c r="B9" t="s">
        <v>45</v>
      </c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52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53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54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55</v>
      </c>
      <c r="D5" t="s">
        <v>12</v>
      </c>
      <c r="E5">
        <f>COUNTIF(A:A, "4 Г")</f>
        <v>0</v>
      </c>
    </row>
    <row r="6" spans="1:5" x14ac:dyDescent="0.25">
      <c r="A6" t="s">
        <v>6</v>
      </c>
      <c r="B6" t="s">
        <v>56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43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44</v>
      </c>
      <c r="D8" t="s">
        <v>19</v>
      </c>
      <c r="E8">
        <f>COUNTIF(A:A, "5 Б")</f>
        <v>0</v>
      </c>
    </row>
    <row r="9" spans="1:5" x14ac:dyDescent="0.25">
      <c r="A9" t="s">
        <v>15</v>
      </c>
      <c r="B9" t="s">
        <v>57</v>
      </c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46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53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54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50</v>
      </c>
      <c r="D5" t="s">
        <v>12</v>
      </c>
      <c r="E5">
        <f>COUNTIF(A:A, "4 Г")</f>
        <v>0</v>
      </c>
    </row>
    <row r="6" spans="1:5" x14ac:dyDescent="0.25">
      <c r="A6" t="s">
        <v>6</v>
      </c>
      <c r="B6" t="s">
        <v>51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16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44</v>
      </c>
      <c r="D8" t="s">
        <v>19</v>
      </c>
      <c r="E8">
        <f>COUNTIF(A:A, "5 Б")</f>
        <v>0</v>
      </c>
    </row>
    <row r="9" spans="1:5" x14ac:dyDescent="0.25">
      <c r="A9" t="s">
        <v>15</v>
      </c>
      <c r="B9" t="s">
        <v>58</v>
      </c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59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60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55</v>
      </c>
      <c r="D4" t="s">
        <v>10</v>
      </c>
      <c r="E4">
        <f>COUNTIF(A:A, "4 В")</f>
        <v>0</v>
      </c>
    </row>
    <row r="5" spans="1:5" x14ac:dyDescent="0.25">
      <c r="A5" t="s">
        <v>6</v>
      </c>
      <c r="B5" t="s">
        <v>56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49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44</v>
      </c>
      <c r="D7" t="s">
        <v>17</v>
      </c>
      <c r="E7">
        <f>COUNTIF(A:A, "5 А")</f>
        <v>0</v>
      </c>
    </row>
    <row r="8" spans="1:5" x14ac:dyDescent="0.25">
      <c r="A8" t="s">
        <v>15</v>
      </c>
      <c r="B8" t="s">
        <v>57</v>
      </c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4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52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59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60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61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62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57</v>
      </c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63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64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65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62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66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52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63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64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65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62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67</v>
      </c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68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69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61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62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67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68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69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61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70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67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5</v>
      </c>
      <c r="B2" t="s">
        <v>71</v>
      </c>
      <c r="D2" t="s">
        <v>5</v>
      </c>
      <c r="E2">
        <f>COUNTIF(A:A, "4 А")</f>
        <v>22</v>
      </c>
    </row>
    <row r="3" spans="1:5" x14ac:dyDescent="0.25">
      <c r="A3" t="s">
        <v>5</v>
      </c>
      <c r="B3" t="s">
        <v>72</v>
      </c>
      <c r="D3" t="s">
        <v>8</v>
      </c>
      <c r="E3">
        <f>COUNTIF(A:A, "4 Б")</f>
        <v>0</v>
      </c>
    </row>
    <row r="4" spans="1:5" x14ac:dyDescent="0.25">
      <c r="A4" t="s">
        <v>5</v>
      </c>
      <c r="B4" t="s">
        <v>73</v>
      </c>
      <c r="D4" t="s">
        <v>10</v>
      </c>
      <c r="E4">
        <f>COUNTIF(A:A, "4 В")</f>
        <v>0</v>
      </c>
    </row>
    <row r="5" spans="1:5" x14ac:dyDescent="0.25">
      <c r="A5" t="s">
        <v>5</v>
      </c>
      <c r="B5" t="s">
        <v>74</v>
      </c>
      <c r="D5" t="s">
        <v>12</v>
      </c>
      <c r="E5">
        <f>COUNTIF(A:A, "4 Г")</f>
        <v>0</v>
      </c>
    </row>
    <row r="6" spans="1:5" x14ac:dyDescent="0.25">
      <c r="A6" t="s">
        <v>5</v>
      </c>
      <c r="B6" t="s">
        <v>75</v>
      </c>
      <c r="D6" t="s">
        <v>14</v>
      </c>
      <c r="E6">
        <f>COUNTIF(A:A, "4 Д")</f>
        <v>0</v>
      </c>
    </row>
    <row r="7" spans="1:5" x14ac:dyDescent="0.25">
      <c r="A7" t="s">
        <v>5</v>
      </c>
      <c r="B7" t="s">
        <v>76</v>
      </c>
      <c r="D7" t="s">
        <v>17</v>
      </c>
      <c r="E7">
        <f>COUNTIF(A:A, "5 А")</f>
        <v>0</v>
      </c>
    </row>
    <row r="8" spans="1:5" x14ac:dyDescent="0.25">
      <c r="A8" t="s">
        <v>5</v>
      </c>
      <c r="B8" t="s">
        <v>77</v>
      </c>
      <c r="D8" t="s">
        <v>19</v>
      </c>
      <c r="E8">
        <f>COUNTIF(A:A, "5 Б")</f>
        <v>0</v>
      </c>
    </row>
    <row r="9" spans="1:5" x14ac:dyDescent="0.25">
      <c r="A9" t="s">
        <v>5</v>
      </c>
      <c r="B9" t="s">
        <v>78</v>
      </c>
      <c r="D9" t="s">
        <v>3</v>
      </c>
      <c r="E9">
        <f>COUNTIF(A:A, "5 В")</f>
        <v>0</v>
      </c>
    </row>
    <row r="10" spans="1:5" x14ac:dyDescent="0.25">
      <c r="A10" t="s">
        <v>5</v>
      </c>
      <c r="B10" t="s">
        <v>79</v>
      </c>
      <c r="D10" t="s">
        <v>20</v>
      </c>
      <c r="E10">
        <f>COUNTIF(A:A, "5 Г")</f>
        <v>0</v>
      </c>
    </row>
    <row r="11" spans="1:5" x14ac:dyDescent="0.25">
      <c r="A11" t="s">
        <v>5</v>
      </c>
      <c r="B11" t="s">
        <v>80</v>
      </c>
      <c r="D11" t="s">
        <v>21</v>
      </c>
      <c r="E11">
        <f>COUNTIF(A:A, "5 Д")</f>
        <v>0</v>
      </c>
    </row>
    <row r="12" spans="1:5" x14ac:dyDescent="0.25">
      <c r="A12" t="s">
        <v>5</v>
      </c>
      <c r="B12" t="s">
        <v>81</v>
      </c>
      <c r="D12" t="s">
        <v>22</v>
      </c>
      <c r="E12">
        <f>COUNTIF(A:A, "6 А")</f>
        <v>0</v>
      </c>
    </row>
    <row r="13" spans="1:5" x14ac:dyDescent="0.25">
      <c r="A13" t="s">
        <v>5</v>
      </c>
      <c r="B13" t="s">
        <v>82</v>
      </c>
      <c r="D13" t="s">
        <v>23</v>
      </c>
      <c r="E13">
        <f>COUNTIF(A:A, "6 Б")</f>
        <v>0</v>
      </c>
    </row>
    <row r="14" spans="1:5" x14ac:dyDescent="0.25">
      <c r="A14" t="s">
        <v>5</v>
      </c>
      <c r="B14" t="s">
        <v>83</v>
      </c>
      <c r="D14" t="s">
        <v>24</v>
      </c>
      <c r="E14">
        <f>COUNTIF(A:A, "6 В")</f>
        <v>0</v>
      </c>
    </row>
    <row r="15" spans="1:5" x14ac:dyDescent="0.25">
      <c r="A15" t="s">
        <v>5</v>
      </c>
      <c r="B15" t="s">
        <v>84</v>
      </c>
      <c r="D15" t="s">
        <v>25</v>
      </c>
      <c r="E15">
        <f>COUNTIF(A:A, "6 Г")</f>
        <v>0</v>
      </c>
    </row>
    <row r="16" spans="1:5" x14ac:dyDescent="0.25">
      <c r="A16" t="s">
        <v>5</v>
      </c>
      <c r="B16" t="s">
        <v>85</v>
      </c>
      <c r="D16" t="s">
        <v>26</v>
      </c>
      <c r="E16">
        <f>COUNTIF(A:A, "6 Д")</f>
        <v>0</v>
      </c>
    </row>
    <row r="17" spans="1:5" x14ac:dyDescent="0.25">
      <c r="A17" t="s">
        <v>5</v>
      </c>
      <c r="B17" t="s">
        <v>86</v>
      </c>
      <c r="D17" t="s">
        <v>27</v>
      </c>
      <c r="E17">
        <f>COUNTIF(A:A, "7 А")</f>
        <v>0</v>
      </c>
    </row>
    <row r="18" spans="1:5" x14ac:dyDescent="0.25">
      <c r="A18" t="s">
        <v>5</v>
      </c>
      <c r="B18" t="s">
        <v>87</v>
      </c>
      <c r="D18" t="s">
        <v>28</v>
      </c>
      <c r="E18">
        <f>COUNTIF(A:A, "7 Б")</f>
        <v>0</v>
      </c>
    </row>
    <row r="19" spans="1:5" x14ac:dyDescent="0.25">
      <c r="A19" t="s">
        <v>5</v>
      </c>
      <c r="B19" t="s">
        <v>88</v>
      </c>
      <c r="D19" t="s">
        <v>29</v>
      </c>
      <c r="E19">
        <f>COUNTIF(A:A, "7 В")</f>
        <v>0</v>
      </c>
    </row>
    <row r="20" spans="1:5" x14ac:dyDescent="0.25">
      <c r="A20" t="s">
        <v>5</v>
      </c>
      <c r="B20" t="s">
        <v>89</v>
      </c>
      <c r="D20" t="s">
        <v>30</v>
      </c>
      <c r="E20">
        <f>COUNTIF(A:A, "7 Г")</f>
        <v>0</v>
      </c>
    </row>
    <row r="21" spans="1:5" x14ac:dyDescent="0.25">
      <c r="A21" t="s">
        <v>5</v>
      </c>
      <c r="B21" t="s">
        <v>90</v>
      </c>
      <c r="D21" t="s">
        <v>6</v>
      </c>
      <c r="E21">
        <f>COUNTIF(A:A, "8 А")</f>
        <v>2</v>
      </c>
    </row>
    <row r="22" spans="1:5" x14ac:dyDescent="0.25">
      <c r="A22" t="s">
        <v>5</v>
      </c>
      <c r="B22" t="s">
        <v>91</v>
      </c>
      <c r="D22" t="s">
        <v>31</v>
      </c>
      <c r="E22">
        <f>COUNTIF(A:A, "8 Б")</f>
        <v>0</v>
      </c>
    </row>
    <row r="23" spans="1:5" x14ac:dyDescent="0.25">
      <c r="A23" t="s">
        <v>5</v>
      </c>
      <c r="B23" t="s">
        <v>92</v>
      </c>
      <c r="D23" t="s">
        <v>32</v>
      </c>
      <c r="E23">
        <f>COUNTIF(A:A, "8 В")</f>
        <v>0</v>
      </c>
    </row>
    <row r="24" spans="1:5" x14ac:dyDescent="0.25">
      <c r="A24" t="s">
        <v>6</v>
      </c>
      <c r="B24" t="s">
        <v>93</v>
      </c>
      <c r="D24" t="s">
        <v>33</v>
      </c>
      <c r="E24">
        <f>COUNTIF(A:A, "9 А")</f>
        <v>0</v>
      </c>
    </row>
    <row r="25" spans="1:5" x14ac:dyDescent="0.25">
      <c r="A25" t="s">
        <v>6</v>
      </c>
      <c r="B25" t="s">
        <v>94</v>
      </c>
      <c r="D25" t="s">
        <v>34</v>
      </c>
      <c r="E25">
        <f>COUNTIF(A:A, "9 Б")</f>
        <v>0</v>
      </c>
    </row>
    <row r="26" spans="1:5" x14ac:dyDescent="0.25">
      <c r="A26" t="s">
        <v>15</v>
      </c>
      <c r="B26" t="s">
        <v>49</v>
      </c>
      <c r="D26" t="s">
        <v>35</v>
      </c>
      <c r="E26">
        <f>COUNTIF(A:A, "9 В")</f>
        <v>0</v>
      </c>
    </row>
    <row r="27" spans="1:5" x14ac:dyDescent="0.25">
      <c r="A27" t="s">
        <v>15</v>
      </c>
      <c r="B27" t="s">
        <v>70</v>
      </c>
      <c r="D27" t="s">
        <v>36</v>
      </c>
      <c r="E27">
        <f>COUNTIF(A:A, "9 Г")</f>
        <v>0</v>
      </c>
    </row>
    <row r="28" spans="1:5" x14ac:dyDescent="0.25">
      <c r="A28" t="s">
        <v>15</v>
      </c>
      <c r="B28" t="s">
        <v>67</v>
      </c>
      <c r="D28" t="s">
        <v>15</v>
      </c>
      <c r="E28">
        <f>COUNTIF(A:A, "10 А")</f>
        <v>3</v>
      </c>
    </row>
    <row r="29" spans="1:5" x14ac:dyDescent="0.25">
      <c r="D29" t="s">
        <v>37</v>
      </c>
      <c r="E29">
        <f>COUNTIF(A:A, "10 Б")</f>
        <v>0</v>
      </c>
    </row>
    <row r="30" spans="1:5" x14ac:dyDescent="0.25">
      <c r="D30" t="s">
        <v>38</v>
      </c>
      <c r="E30">
        <f>COUNTIF(A:A, "11 А")</f>
        <v>0</v>
      </c>
    </row>
    <row r="31" spans="1:5" x14ac:dyDescent="0.25">
      <c r="D31" t="s">
        <v>39</v>
      </c>
      <c r="E31">
        <f>COUNTIF(A:A, "11 Б")</f>
        <v>0</v>
      </c>
    </row>
    <row r="32" spans="1:5" x14ac:dyDescent="0.25">
      <c r="D32" s="1" t="s">
        <v>40</v>
      </c>
      <c r="E32">
        <f>SUM(E2:E31)</f>
        <v>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52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93</v>
      </c>
      <c r="D3" t="s">
        <v>8</v>
      </c>
      <c r="E3">
        <f>COUNTIF(A:A, "4 Б")</f>
        <v>0</v>
      </c>
    </row>
    <row r="4" spans="1:5" x14ac:dyDescent="0.25">
      <c r="A4" t="s">
        <v>6</v>
      </c>
      <c r="B4" t="s">
        <v>94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49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70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95</v>
      </c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1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96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97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43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98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95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96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97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43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98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99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100</v>
      </c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4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101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102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16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98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100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101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102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43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103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99</v>
      </c>
      <c r="D6" t="s">
        <v>14</v>
      </c>
      <c r="E6">
        <f>COUNTIF(A:A, "4 Д")</f>
        <v>0</v>
      </c>
    </row>
    <row r="7" spans="1:5" x14ac:dyDescent="0.25">
      <c r="A7" t="s">
        <v>15</v>
      </c>
      <c r="B7" t="s">
        <v>100</v>
      </c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4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104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105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49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99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5</v>
      </c>
      <c r="B2" t="s">
        <v>71</v>
      </c>
      <c r="D2" t="s">
        <v>5</v>
      </c>
      <c r="E2">
        <f>COUNTIF(A:A, "4 А")</f>
        <v>18</v>
      </c>
    </row>
    <row r="3" spans="1:5" x14ac:dyDescent="0.25">
      <c r="A3" t="s">
        <v>5</v>
      </c>
      <c r="B3" t="s">
        <v>72</v>
      </c>
      <c r="D3" t="s">
        <v>8</v>
      </c>
      <c r="E3">
        <f>COUNTIF(A:A, "4 Б")</f>
        <v>0</v>
      </c>
    </row>
    <row r="4" spans="1:5" x14ac:dyDescent="0.25">
      <c r="A4" t="s">
        <v>5</v>
      </c>
      <c r="B4" t="s">
        <v>73</v>
      </c>
      <c r="D4" t="s">
        <v>10</v>
      </c>
      <c r="E4">
        <f>COUNTIF(A:A, "4 В")</f>
        <v>0</v>
      </c>
    </row>
    <row r="5" spans="1:5" x14ac:dyDescent="0.25">
      <c r="A5" t="s">
        <v>5</v>
      </c>
      <c r="B5" t="s">
        <v>75</v>
      </c>
      <c r="D5" t="s">
        <v>12</v>
      </c>
      <c r="E5">
        <f>COUNTIF(A:A, "4 Г")</f>
        <v>0</v>
      </c>
    </row>
    <row r="6" spans="1:5" x14ac:dyDescent="0.25">
      <c r="A6" t="s">
        <v>5</v>
      </c>
      <c r="B6" t="s">
        <v>76</v>
      </c>
      <c r="D6" t="s">
        <v>14</v>
      </c>
      <c r="E6">
        <f>COUNTIF(A:A, "4 Д")</f>
        <v>0</v>
      </c>
    </row>
    <row r="7" spans="1:5" x14ac:dyDescent="0.25">
      <c r="A7" t="s">
        <v>5</v>
      </c>
      <c r="B7" t="s">
        <v>107</v>
      </c>
      <c r="D7" t="s">
        <v>17</v>
      </c>
      <c r="E7">
        <f>COUNTIF(A:A, "5 А")</f>
        <v>0</v>
      </c>
    </row>
    <row r="8" spans="1:5" x14ac:dyDescent="0.25">
      <c r="A8" t="s">
        <v>5</v>
      </c>
      <c r="B8" t="s">
        <v>108</v>
      </c>
      <c r="D8" t="s">
        <v>19</v>
      </c>
      <c r="E8">
        <f>COUNTIF(A:A, "5 Б")</f>
        <v>0</v>
      </c>
    </row>
    <row r="9" spans="1:5" x14ac:dyDescent="0.25">
      <c r="A9" t="s">
        <v>5</v>
      </c>
      <c r="B9" t="s">
        <v>109</v>
      </c>
      <c r="D9" t="s">
        <v>3</v>
      </c>
      <c r="E9">
        <f>COUNTIF(A:A, "5 В")</f>
        <v>0</v>
      </c>
    </row>
    <row r="10" spans="1:5" x14ac:dyDescent="0.25">
      <c r="A10" t="s">
        <v>5</v>
      </c>
      <c r="B10" t="s">
        <v>110</v>
      </c>
      <c r="D10" t="s">
        <v>20</v>
      </c>
      <c r="E10">
        <f>COUNTIF(A:A, "5 Г")</f>
        <v>0</v>
      </c>
    </row>
    <row r="11" spans="1:5" x14ac:dyDescent="0.25">
      <c r="A11" t="s">
        <v>5</v>
      </c>
      <c r="B11" t="s">
        <v>111</v>
      </c>
      <c r="D11" t="s">
        <v>21</v>
      </c>
      <c r="E11">
        <f>COUNTIF(A:A, "5 Д")</f>
        <v>0</v>
      </c>
    </row>
    <row r="12" spans="1:5" x14ac:dyDescent="0.25">
      <c r="A12" t="s">
        <v>5</v>
      </c>
      <c r="B12" t="s">
        <v>112</v>
      </c>
      <c r="D12" t="s">
        <v>22</v>
      </c>
      <c r="E12">
        <f>COUNTIF(A:A, "6 А")</f>
        <v>0</v>
      </c>
    </row>
    <row r="13" spans="1:5" x14ac:dyDescent="0.25">
      <c r="A13" t="s">
        <v>5</v>
      </c>
      <c r="B13" t="s">
        <v>113</v>
      </c>
      <c r="D13" t="s">
        <v>23</v>
      </c>
      <c r="E13">
        <f>COUNTIF(A:A, "6 Б")</f>
        <v>0</v>
      </c>
    </row>
    <row r="14" spans="1:5" x14ac:dyDescent="0.25">
      <c r="A14" t="s">
        <v>5</v>
      </c>
      <c r="B14" t="s">
        <v>86</v>
      </c>
      <c r="D14" t="s">
        <v>24</v>
      </c>
      <c r="E14">
        <f>COUNTIF(A:A, "6 В")</f>
        <v>0</v>
      </c>
    </row>
    <row r="15" spans="1:5" x14ac:dyDescent="0.25">
      <c r="A15" t="s">
        <v>5</v>
      </c>
      <c r="B15" t="s">
        <v>87</v>
      </c>
      <c r="D15" t="s">
        <v>25</v>
      </c>
      <c r="E15">
        <f>COUNTIF(A:A, "6 Г")</f>
        <v>0</v>
      </c>
    </row>
    <row r="16" spans="1:5" x14ac:dyDescent="0.25">
      <c r="A16" t="s">
        <v>5</v>
      </c>
      <c r="B16" t="s">
        <v>88</v>
      </c>
      <c r="D16" t="s">
        <v>26</v>
      </c>
      <c r="E16">
        <f>COUNTIF(A:A, "6 Д")</f>
        <v>0</v>
      </c>
    </row>
    <row r="17" spans="1:5" x14ac:dyDescent="0.25">
      <c r="A17" t="s">
        <v>5</v>
      </c>
      <c r="B17" t="s">
        <v>89</v>
      </c>
      <c r="D17" t="s">
        <v>27</v>
      </c>
      <c r="E17">
        <f>COUNTIF(A:A, "7 А")</f>
        <v>0</v>
      </c>
    </row>
    <row r="18" spans="1:5" x14ac:dyDescent="0.25">
      <c r="A18" t="s">
        <v>5</v>
      </c>
      <c r="B18" t="s">
        <v>114</v>
      </c>
      <c r="D18" t="s">
        <v>28</v>
      </c>
      <c r="E18">
        <f>COUNTIF(A:A, "7 Б")</f>
        <v>0</v>
      </c>
    </row>
    <row r="19" spans="1:5" x14ac:dyDescent="0.25">
      <c r="A19" t="s">
        <v>5</v>
      </c>
      <c r="B19" t="s">
        <v>92</v>
      </c>
      <c r="D19" t="s">
        <v>29</v>
      </c>
      <c r="E19">
        <f>COUNTIF(A:A, "7 В")</f>
        <v>0</v>
      </c>
    </row>
    <row r="20" spans="1:5" x14ac:dyDescent="0.25">
      <c r="A20" t="s">
        <v>6</v>
      </c>
      <c r="B20" t="s">
        <v>104</v>
      </c>
      <c r="D20" t="s">
        <v>30</v>
      </c>
      <c r="E20">
        <f>COUNTIF(A:A, "7 Г")</f>
        <v>0</v>
      </c>
    </row>
    <row r="21" spans="1:5" x14ac:dyDescent="0.25">
      <c r="A21" t="s">
        <v>6</v>
      </c>
      <c r="B21" t="s">
        <v>105</v>
      </c>
      <c r="D21" t="s">
        <v>6</v>
      </c>
      <c r="E21">
        <f>COUNTIF(A:A, "8 А")</f>
        <v>2</v>
      </c>
    </row>
    <row r="22" spans="1:5" x14ac:dyDescent="0.25">
      <c r="A22" t="s">
        <v>15</v>
      </c>
      <c r="B22" t="s">
        <v>61</v>
      </c>
      <c r="D22" t="s">
        <v>31</v>
      </c>
      <c r="E22">
        <f>COUNTIF(A:A, "8 Б")</f>
        <v>0</v>
      </c>
    </row>
    <row r="23" spans="1:5" x14ac:dyDescent="0.25">
      <c r="A23" t="s">
        <v>15</v>
      </c>
      <c r="B23" t="s">
        <v>106</v>
      </c>
      <c r="D23" t="s">
        <v>32</v>
      </c>
      <c r="E23">
        <f>COUNTIF(A:A, "8 В")</f>
        <v>0</v>
      </c>
    </row>
    <row r="24" spans="1:5" x14ac:dyDescent="0.25">
      <c r="A24" t="s">
        <v>15</v>
      </c>
      <c r="B24" t="s">
        <v>99</v>
      </c>
      <c r="D24" t="s">
        <v>33</v>
      </c>
      <c r="E24">
        <f>COUNTIF(A:A, "9 А")</f>
        <v>0</v>
      </c>
    </row>
    <row r="25" spans="1:5" x14ac:dyDescent="0.25">
      <c r="A25" t="s">
        <v>15</v>
      </c>
      <c r="B25" t="s">
        <v>100</v>
      </c>
      <c r="D25" t="s">
        <v>34</v>
      </c>
      <c r="E25">
        <f>COUNTIF(A:A, "9 Б")</f>
        <v>0</v>
      </c>
    </row>
    <row r="26" spans="1:5" x14ac:dyDescent="0.25">
      <c r="D26" t="s">
        <v>35</v>
      </c>
      <c r="E26">
        <f>COUNTIF(A:A, "9 В")</f>
        <v>0</v>
      </c>
    </row>
    <row r="27" spans="1:5" x14ac:dyDescent="0.25">
      <c r="D27" t="s">
        <v>36</v>
      </c>
      <c r="E27">
        <f>COUNTIF(A:A, "9 Г")</f>
        <v>0</v>
      </c>
    </row>
    <row r="28" spans="1:5" x14ac:dyDescent="0.25">
      <c r="D28" t="s">
        <v>15</v>
      </c>
      <c r="E28">
        <f>COUNTIF(A:A, "10 А")</f>
        <v>4</v>
      </c>
    </row>
    <row r="29" spans="1:5" x14ac:dyDescent="0.25">
      <c r="D29" t="s">
        <v>37</v>
      </c>
      <c r="E29">
        <f>COUNTIF(A:A, "10 Б")</f>
        <v>0</v>
      </c>
    </row>
    <row r="30" spans="1:5" x14ac:dyDescent="0.25">
      <c r="D30" t="s">
        <v>38</v>
      </c>
      <c r="E30">
        <f>COUNTIF(A:A, "11 А")</f>
        <v>0</v>
      </c>
    </row>
    <row r="31" spans="1:5" x14ac:dyDescent="0.25">
      <c r="D31" t="s">
        <v>39</v>
      </c>
      <c r="E31">
        <f>COUNTIF(A:A, "11 Б")</f>
        <v>0</v>
      </c>
    </row>
    <row r="32" spans="1:5" x14ac:dyDescent="0.25">
      <c r="D32" s="1" t="s">
        <v>40</v>
      </c>
      <c r="E32">
        <f>SUM(E2:E31)</f>
        <v>24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115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116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65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99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117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118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119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2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115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116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119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A6" t="s">
        <v>15</v>
      </c>
      <c r="B6" t="s">
        <v>99</v>
      </c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3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117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118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119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2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120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121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122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106</v>
      </c>
      <c r="D5" t="s">
        <v>12</v>
      </c>
      <c r="E5">
        <f>COUNTIF(A:A, "4 Г")</f>
        <v>0</v>
      </c>
    </row>
    <row r="6" spans="1:5" x14ac:dyDescent="0.25"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2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120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121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123</v>
      </c>
      <c r="D4" t="s">
        <v>10</v>
      </c>
      <c r="E4">
        <f>COUNTIF(A:A, "4 В")</f>
        <v>0</v>
      </c>
    </row>
    <row r="5" spans="1:5" x14ac:dyDescent="0.25">
      <c r="A5" t="s">
        <v>15</v>
      </c>
      <c r="B5" t="s">
        <v>124</v>
      </c>
      <c r="D5" t="s">
        <v>12</v>
      </c>
      <c r="E5">
        <f>COUNTIF(A:A, "4 Г")</f>
        <v>0</v>
      </c>
    </row>
    <row r="6" spans="1:5" x14ac:dyDescent="0.25"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2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6</v>
      </c>
      <c r="B2" t="s">
        <v>11</v>
      </c>
      <c r="D2" t="s">
        <v>5</v>
      </c>
      <c r="E2">
        <f>COUNTIF(A:A, "4 А")</f>
        <v>0</v>
      </c>
    </row>
    <row r="3" spans="1:5" x14ac:dyDescent="0.25">
      <c r="A3" t="s">
        <v>6</v>
      </c>
      <c r="B3" t="s">
        <v>13</v>
      </c>
      <c r="D3" t="s">
        <v>8</v>
      </c>
      <c r="E3">
        <f>COUNTIF(A:A, "4 Б")</f>
        <v>0</v>
      </c>
    </row>
    <row r="4" spans="1:5" x14ac:dyDescent="0.25">
      <c r="A4" t="s">
        <v>15</v>
      </c>
      <c r="B4" t="s">
        <v>125</v>
      </c>
      <c r="D4" t="s">
        <v>10</v>
      </c>
      <c r="E4">
        <f>COUNTIF(A:A, "4 В")</f>
        <v>0</v>
      </c>
    </row>
    <row r="5" spans="1:5" x14ac:dyDescent="0.25">
      <c r="D5" t="s">
        <v>12</v>
      </c>
      <c r="E5">
        <f>COUNTIF(A:A, "4 Г")</f>
        <v>0</v>
      </c>
    </row>
    <row r="6" spans="1:5" x14ac:dyDescent="0.25">
      <c r="D6" t="s">
        <v>14</v>
      </c>
      <c r="E6">
        <f>COUNTIF(A:A, "4 Д")</f>
        <v>0</v>
      </c>
    </row>
    <row r="7" spans="1:5" x14ac:dyDescent="0.25">
      <c r="D7" t="s">
        <v>17</v>
      </c>
      <c r="E7">
        <f>COUNTIF(A:A, "5 А")</f>
        <v>0</v>
      </c>
    </row>
    <row r="8" spans="1:5" x14ac:dyDescent="0.25">
      <c r="D8" t="s">
        <v>19</v>
      </c>
      <c r="E8">
        <f>COUNTIF(A:A, "5 Б")</f>
        <v>0</v>
      </c>
    </row>
    <row r="9" spans="1:5" x14ac:dyDescent="0.25">
      <c r="D9" t="s">
        <v>3</v>
      </c>
      <c r="E9">
        <f>COUNTIF(A:A, "5 В")</f>
        <v>0</v>
      </c>
    </row>
    <row r="10" spans="1:5" x14ac:dyDescent="0.25">
      <c r="D10" t="s">
        <v>20</v>
      </c>
      <c r="E10">
        <f>COUNTIF(A:A, "5 Г")</f>
        <v>0</v>
      </c>
    </row>
    <row r="11" spans="1:5" x14ac:dyDescent="0.25">
      <c r="D11" t="s">
        <v>21</v>
      </c>
      <c r="E11">
        <f>COUNTIF(A:A, "5 Д")</f>
        <v>0</v>
      </c>
    </row>
    <row r="12" spans="1:5" x14ac:dyDescent="0.25">
      <c r="D12" t="s">
        <v>22</v>
      </c>
      <c r="E12">
        <f>COUNTIF(A:A, "6 А")</f>
        <v>0</v>
      </c>
    </row>
    <row r="13" spans="1:5" x14ac:dyDescent="0.25">
      <c r="D13" t="s">
        <v>23</v>
      </c>
      <c r="E13">
        <f>COUNTIF(A:A, "6 Б")</f>
        <v>0</v>
      </c>
    </row>
    <row r="14" spans="1:5" x14ac:dyDescent="0.25">
      <c r="D14" t="s">
        <v>24</v>
      </c>
      <c r="E14">
        <f>COUNTIF(A:A, "6 В")</f>
        <v>0</v>
      </c>
    </row>
    <row r="15" spans="1:5" x14ac:dyDescent="0.25">
      <c r="D15" t="s">
        <v>25</v>
      </c>
      <c r="E15">
        <f>COUNTIF(A:A, "6 Г")</f>
        <v>0</v>
      </c>
    </row>
    <row r="16" spans="1:5" x14ac:dyDescent="0.25">
      <c r="D16" t="s">
        <v>26</v>
      </c>
      <c r="E16">
        <f>COUNTIF(A:A, "6 Д")</f>
        <v>0</v>
      </c>
    </row>
    <row r="17" spans="4:5" x14ac:dyDescent="0.25">
      <c r="D17" t="s">
        <v>27</v>
      </c>
      <c r="E17">
        <f>COUNTIF(A:A, "7 А")</f>
        <v>0</v>
      </c>
    </row>
    <row r="18" spans="4:5" x14ac:dyDescent="0.25">
      <c r="D18" t="s">
        <v>28</v>
      </c>
      <c r="E18">
        <f>COUNTIF(A:A, "7 Б")</f>
        <v>0</v>
      </c>
    </row>
    <row r="19" spans="4:5" x14ac:dyDescent="0.25">
      <c r="D19" t="s">
        <v>29</v>
      </c>
      <c r="E19">
        <f>COUNTIF(A:A, "7 В")</f>
        <v>0</v>
      </c>
    </row>
    <row r="20" spans="4:5" x14ac:dyDescent="0.25">
      <c r="D20" t="s">
        <v>30</v>
      </c>
      <c r="E20">
        <f>COUNTIF(A:A, "7 Г")</f>
        <v>0</v>
      </c>
    </row>
    <row r="21" spans="4:5" x14ac:dyDescent="0.25">
      <c r="D21" t="s">
        <v>6</v>
      </c>
      <c r="E21">
        <f>COUNTIF(A:A, "8 А")</f>
        <v>2</v>
      </c>
    </row>
    <row r="22" spans="4:5" x14ac:dyDescent="0.25">
      <c r="D22" t="s">
        <v>31</v>
      </c>
      <c r="E22">
        <f>COUNTIF(A:A, "8 Б")</f>
        <v>0</v>
      </c>
    </row>
    <row r="23" spans="4:5" x14ac:dyDescent="0.25">
      <c r="D23" t="s">
        <v>32</v>
      </c>
      <c r="E23">
        <f>COUNTIF(A:A, "8 В")</f>
        <v>0</v>
      </c>
    </row>
    <row r="24" spans="4:5" x14ac:dyDescent="0.25">
      <c r="D24" t="s">
        <v>33</v>
      </c>
      <c r="E24">
        <f>COUNTIF(A:A, "9 А")</f>
        <v>0</v>
      </c>
    </row>
    <row r="25" spans="4:5" x14ac:dyDescent="0.25">
      <c r="D25" t="s">
        <v>34</v>
      </c>
      <c r="E25">
        <f>COUNTIF(A:A, "9 Б")</f>
        <v>0</v>
      </c>
    </row>
    <row r="26" spans="4:5" x14ac:dyDescent="0.25">
      <c r="D26" t="s">
        <v>35</v>
      </c>
      <c r="E26">
        <f>COUNTIF(A:A, "9 В")</f>
        <v>0</v>
      </c>
    </row>
    <row r="27" spans="4:5" x14ac:dyDescent="0.25">
      <c r="D27" t="s">
        <v>36</v>
      </c>
      <c r="E27">
        <f>COUNTIF(A:A, "9 Г")</f>
        <v>0</v>
      </c>
    </row>
    <row r="28" spans="4:5" x14ac:dyDescent="0.25">
      <c r="D28" t="s">
        <v>15</v>
      </c>
      <c r="E28">
        <f>COUNTIF(A:A, "10 А")</f>
        <v>1</v>
      </c>
    </row>
    <row r="29" spans="4:5" x14ac:dyDescent="0.25">
      <c r="D29" t="s">
        <v>37</v>
      </c>
      <c r="E29">
        <f>COUNTIF(A:A, "10 Б")</f>
        <v>0</v>
      </c>
    </row>
    <row r="30" spans="4:5" x14ac:dyDescent="0.25">
      <c r="D30" t="s">
        <v>38</v>
      </c>
      <c r="E30">
        <f>COUNTIF(A:A, "11 А")</f>
        <v>0</v>
      </c>
    </row>
    <row r="31" spans="4:5" x14ac:dyDescent="0.25">
      <c r="D31" t="s">
        <v>39</v>
      </c>
      <c r="E31">
        <f>COUNTIF(A:A, "11 Б")</f>
        <v>0</v>
      </c>
    </row>
    <row r="32" spans="4:5" x14ac:dyDescent="0.25">
      <c r="D32" s="1" t="s">
        <v>40</v>
      </c>
      <c r="E32">
        <f>SUM(E2:E31)</f>
        <v>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3"/>
  <sheetViews>
    <sheetView tabSelected="1" topLeftCell="A4" workbookViewId="0"/>
  </sheetViews>
  <sheetFormatPr defaultRowHeight="15" x14ac:dyDescent="0.25"/>
  <cols>
    <col min="1" max="1" width="11" customWidth="1"/>
    <col min="2" max="28" width="6" customWidth="1"/>
  </cols>
  <sheetData>
    <row r="1" spans="1:28" ht="105" customHeight="1" x14ac:dyDescent="0.25">
      <c r="A1" s="2" t="s">
        <v>0</v>
      </c>
      <c r="B1" s="3" t="s">
        <v>126</v>
      </c>
      <c r="C1" s="4" t="s">
        <v>127</v>
      </c>
      <c r="D1" s="3" t="s">
        <v>128</v>
      </c>
      <c r="E1" s="4" t="s">
        <v>129</v>
      </c>
      <c r="F1" s="3" t="s">
        <v>130</v>
      </c>
      <c r="G1" s="4" t="s">
        <v>131</v>
      </c>
      <c r="H1" s="3" t="s">
        <v>132</v>
      </c>
      <c r="I1" s="4" t="s">
        <v>133</v>
      </c>
      <c r="J1" s="3" t="s">
        <v>134</v>
      </c>
      <c r="K1" s="4" t="s">
        <v>135</v>
      </c>
      <c r="L1" s="3" t="s">
        <v>136</v>
      </c>
      <c r="M1" s="4" t="s">
        <v>137</v>
      </c>
      <c r="N1" s="3" t="s">
        <v>138</v>
      </c>
      <c r="O1" s="4" t="s">
        <v>139</v>
      </c>
      <c r="P1" s="3" t="s">
        <v>140</v>
      </c>
      <c r="Q1" s="4" t="s">
        <v>141</v>
      </c>
      <c r="R1" s="3" t="s">
        <v>142</v>
      </c>
      <c r="S1" s="4" t="s">
        <v>143</v>
      </c>
      <c r="T1" s="3" t="s">
        <v>144</v>
      </c>
      <c r="U1" s="4" t="s">
        <v>145</v>
      </c>
      <c r="V1" s="3" t="s">
        <v>146</v>
      </c>
      <c r="W1" s="4" t="s">
        <v>147</v>
      </c>
      <c r="X1" s="3" t="s">
        <v>148</v>
      </c>
      <c r="Y1" s="4" t="s">
        <v>149</v>
      </c>
      <c r="Z1" s="3" t="s">
        <v>150</v>
      </c>
      <c r="AA1" s="4" t="s">
        <v>151</v>
      </c>
      <c r="AB1" s="3" t="s">
        <v>152</v>
      </c>
    </row>
    <row r="2" spans="1:28" x14ac:dyDescent="0.25">
      <c r="A2" s="5" t="s">
        <v>5</v>
      </c>
      <c r="B2" s="6">
        <f>'Англ. язык'!E2</f>
        <v>0</v>
      </c>
      <c r="C2" s="7">
        <f>Астрономия!E2</f>
        <v>0</v>
      </c>
      <c r="D2" s="6">
        <f>Биология!E2</f>
        <v>0</v>
      </c>
      <c r="E2" s="7">
        <f>География!E2</f>
        <v>0</v>
      </c>
      <c r="F2" s="6">
        <f>ИИ!E2</f>
        <v>0</v>
      </c>
      <c r="G2" s="7">
        <f>Инф.без.!E2</f>
        <v>0</v>
      </c>
      <c r="H2" s="6">
        <f>Искусство!E2</f>
        <v>0</v>
      </c>
      <c r="I2" s="7">
        <f>Исп.язык!E2</f>
        <v>0</v>
      </c>
      <c r="J2" s="6">
        <f>История!E2</f>
        <v>0</v>
      </c>
      <c r="K2" s="7">
        <f>Итал.язык!E2</f>
        <v>0</v>
      </c>
      <c r="L2" s="6">
        <f>Кит.язык!E2</f>
        <v>0</v>
      </c>
      <c r="M2" s="7">
        <f>Литература!E2</f>
        <v>0</v>
      </c>
      <c r="N2" s="6">
        <f>Математика!E2</f>
        <v>22</v>
      </c>
      <c r="O2" s="7">
        <f>Нем.язык!E2</f>
        <v>0</v>
      </c>
      <c r="P2" s="6">
        <f>ОБЗР!E2</f>
        <v>0</v>
      </c>
      <c r="Q2" s="7">
        <f>Обществознание!E2</f>
        <v>0</v>
      </c>
      <c r="R2" s="6">
        <f>Право!E2</f>
        <v>0</v>
      </c>
      <c r="S2" s="7">
        <f>Программирование!E2</f>
        <v>0</v>
      </c>
      <c r="T2" s="6">
        <f>Робототехника!E2</f>
        <v>0</v>
      </c>
      <c r="U2" s="7">
        <f>'Русский язык'!E2</f>
        <v>18</v>
      </c>
      <c r="V2" s="6">
        <f>Труд!E2</f>
        <v>0</v>
      </c>
      <c r="W2" s="7">
        <f>Физ.культура!E2</f>
        <v>0</v>
      </c>
      <c r="X2" s="6">
        <f>Физика!E2</f>
        <v>0</v>
      </c>
      <c r="Y2" s="7">
        <f>Фран.язык!E2</f>
        <v>0</v>
      </c>
      <c r="Z2" s="6">
        <f>Химия!E2</f>
        <v>0</v>
      </c>
      <c r="AA2" s="7">
        <f>Экология!E2</f>
        <v>0</v>
      </c>
      <c r="AB2" s="6">
        <f>Экономика!E2</f>
        <v>0</v>
      </c>
    </row>
    <row r="3" spans="1:28" x14ac:dyDescent="0.25">
      <c r="A3" s="5" t="s">
        <v>8</v>
      </c>
      <c r="B3" s="6">
        <f>'Англ. язык'!E3</f>
        <v>0</v>
      </c>
      <c r="C3" s="7">
        <f>Астрономия!E3</f>
        <v>0</v>
      </c>
      <c r="D3" s="6">
        <f>Биология!E3</f>
        <v>0</v>
      </c>
      <c r="E3" s="7">
        <f>География!E3</f>
        <v>0</v>
      </c>
      <c r="F3" s="6">
        <f>ИИ!E3</f>
        <v>0</v>
      </c>
      <c r="G3" s="7">
        <f>Инф.без.!E3</f>
        <v>0</v>
      </c>
      <c r="H3" s="6">
        <f>Искусство!E3</f>
        <v>0</v>
      </c>
      <c r="I3" s="7">
        <f>Исп.язык!E3</f>
        <v>0</v>
      </c>
      <c r="J3" s="6">
        <f>История!E3</f>
        <v>0</v>
      </c>
      <c r="K3" s="7">
        <f>Итал.язык!E3</f>
        <v>0</v>
      </c>
      <c r="L3" s="6">
        <f>Кит.язык!E3</f>
        <v>0</v>
      </c>
      <c r="M3" s="7">
        <f>Литература!E3</f>
        <v>0</v>
      </c>
      <c r="N3" s="6">
        <f>Математика!E3</f>
        <v>0</v>
      </c>
      <c r="O3" s="7">
        <f>Нем.язык!E3</f>
        <v>0</v>
      </c>
      <c r="P3" s="6">
        <f>ОБЗР!E3</f>
        <v>0</v>
      </c>
      <c r="Q3" s="7">
        <f>Обществознание!E3</f>
        <v>0</v>
      </c>
      <c r="R3" s="6">
        <f>Право!E3</f>
        <v>0</v>
      </c>
      <c r="S3" s="7">
        <f>Программирование!E3</f>
        <v>0</v>
      </c>
      <c r="T3" s="6">
        <f>Робототехника!E3</f>
        <v>0</v>
      </c>
      <c r="U3" s="7">
        <f>'Русский язык'!E3</f>
        <v>0</v>
      </c>
      <c r="V3" s="6">
        <f>Труд!E3</f>
        <v>0</v>
      </c>
      <c r="W3" s="7">
        <f>Физ.культура!E3</f>
        <v>0</v>
      </c>
      <c r="X3" s="6">
        <f>Физика!E3</f>
        <v>0</v>
      </c>
      <c r="Y3" s="7">
        <f>Фран.язык!E3</f>
        <v>0</v>
      </c>
      <c r="Z3" s="6">
        <f>Химия!E3</f>
        <v>0</v>
      </c>
      <c r="AA3" s="7">
        <f>Экология!E3</f>
        <v>0</v>
      </c>
      <c r="AB3" s="6">
        <f>Экономика!E3</f>
        <v>0</v>
      </c>
    </row>
    <row r="4" spans="1:28" x14ac:dyDescent="0.25">
      <c r="A4" s="5" t="s">
        <v>10</v>
      </c>
      <c r="B4" s="6">
        <f>'Англ. язык'!E4</f>
        <v>0</v>
      </c>
      <c r="C4" s="7">
        <f>Астрономия!E4</f>
        <v>0</v>
      </c>
      <c r="D4" s="6">
        <f>Биология!E4</f>
        <v>0</v>
      </c>
      <c r="E4" s="7">
        <f>География!E4</f>
        <v>0</v>
      </c>
      <c r="F4" s="6">
        <f>ИИ!E4</f>
        <v>0</v>
      </c>
      <c r="G4" s="7">
        <f>Инф.без.!E4</f>
        <v>0</v>
      </c>
      <c r="H4" s="6">
        <f>Искусство!E4</f>
        <v>0</v>
      </c>
      <c r="I4" s="7">
        <f>Исп.язык!E4</f>
        <v>0</v>
      </c>
      <c r="J4" s="6">
        <f>История!E4</f>
        <v>0</v>
      </c>
      <c r="K4" s="7">
        <f>Итал.язык!E4</f>
        <v>0</v>
      </c>
      <c r="L4" s="6">
        <f>Кит.язык!E4</f>
        <v>0</v>
      </c>
      <c r="M4" s="7">
        <f>Литература!E4</f>
        <v>0</v>
      </c>
      <c r="N4" s="6">
        <f>Математика!E4</f>
        <v>0</v>
      </c>
      <c r="O4" s="7">
        <f>Нем.язык!E4</f>
        <v>0</v>
      </c>
      <c r="P4" s="6">
        <f>ОБЗР!E4</f>
        <v>0</v>
      </c>
      <c r="Q4" s="7">
        <f>Обществознание!E4</f>
        <v>0</v>
      </c>
      <c r="R4" s="6">
        <f>Право!E4</f>
        <v>0</v>
      </c>
      <c r="S4" s="7">
        <f>Программирование!E4</f>
        <v>0</v>
      </c>
      <c r="T4" s="6">
        <f>Робототехника!E4</f>
        <v>0</v>
      </c>
      <c r="U4" s="7">
        <f>'Русский язык'!E4</f>
        <v>0</v>
      </c>
      <c r="V4" s="6">
        <f>Труд!E4</f>
        <v>0</v>
      </c>
      <c r="W4" s="7">
        <f>Физ.культура!E4</f>
        <v>0</v>
      </c>
      <c r="X4" s="6">
        <f>Физика!E4</f>
        <v>0</v>
      </c>
      <c r="Y4" s="7">
        <f>Фран.язык!E4</f>
        <v>0</v>
      </c>
      <c r="Z4" s="6">
        <f>Химия!E4</f>
        <v>0</v>
      </c>
      <c r="AA4" s="7">
        <f>Экология!E4</f>
        <v>0</v>
      </c>
      <c r="AB4" s="6">
        <f>Экономика!E4</f>
        <v>0</v>
      </c>
    </row>
    <row r="5" spans="1:28" x14ac:dyDescent="0.25">
      <c r="A5" s="5" t="s">
        <v>12</v>
      </c>
      <c r="B5" s="6">
        <f>'Англ. язык'!E5</f>
        <v>0</v>
      </c>
      <c r="C5" s="7">
        <f>Астрономия!E5</f>
        <v>0</v>
      </c>
      <c r="D5" s="6">
        <f>Биология!E5</f>
        <v>0</v>
      </c>
      <c r="E5" s="7">
        <f>География!E5</f>
        <v>0</v>
      </c>
      <c r="F5" s="6">
        <f>ИИ!E5</f>
        <v>0</v>
      </c>
      <c r="G5" s="7">
        <f>Инф.без.!E5</f>
        <v>0</v>
      </c>
      <c r="H5" s="6">
        <f>Искусство!E5</f>
        <v>0</v>
      </c>
      <c r="I5" s="7">
        <f>Исп.язык!E5</f>
        <v>0</v>
      </c>
      <c r="J5" s="6">
        <f>История!E5</f>
        <v>0</v>
      </c>
      <c r="K5" s="7">
        <f>Итал.язык!E5</f>
        <v>0</v>
      </c>
      <c r="L5" s="6">
        <f>Кит.язык!E5</f>
        <v>0</v>
      </c>
      <c r="M5" s="7">
        <f>Литература!E5</f>
        <v>0</v>
      </c>
      <c r="N5" s="6">
        <f>Математика!E5</f>
        <v>0</v>
      </c>
      <c r="O5" s="7">
        <f>Нем.язык!E5</f>
        <v>0</v>
      </c>
      <c r="P5" s="6">
        <f>ОБЗР!E5</f>
        <v>0</v>
      </c>
      <c r="Q5" s="7">
        <f>Обществознание!E5</f>
        <v>0</v>
      </c>
      <c r="R5" s="6">
        <f>Право!E5</f>
        <v>0</v>
      </c>
      <c r="S5" s="7">
        <f>Программирование!E5</f>
        <v>0</v>
      </c>
      <c r="T5" s="6">
        <f>Робототехника!E5</f>
        <v>0</v>
      </c>
      <c r="U5" s="7">
        <f>'Русский язык'!E5</f>
        <v>0</v>
      </c>
      <c r="V5" s="6">
        <f>Труд!E5</f>
        <v>0</v>
      </c>
      <c r="W5" s="7">
        <f>Физ.культура!E5</f>
        <v>0</v>
      </c>
      <c r="X5" s="6">
        <f>Физика!E5</f>
        <v>0</v>
      </c>
      <c r="Y5" s="7">
        <f>Фран.язык!E5</f>
        <v>0</v>
      </c>
      <c r="Z5" s="6">
        <f>Химия!E5</f>
        <v>0</v>
      </c>
      <c r="AA5" s="7">
        <f>Экология!E5</f>
        <v>0</v>
      </c>
      <c r="AB5" s="6">
        <f>Экономика!E5</f>
        <v>0</v>
      </c>
    </row>
    <row r="6" spans="1:28" x14ac:dyDescent="0.25">
      <c r="A6" s="5" t="s">
        <v>14</v>
      </c>
      <c r="B6" s="6">
        <f>'Англ. язык'!E6</f>
        <v>0</v>
      </c>
      <c r="C6" s="7">
        <f>Астрономия!E6</f>
        <v>0</v>
      </c>
      <c r="D6" s="6">
        <f>Биология!E6</f>
        <v>0</v>
      </c>
      <c r="E6" s="7">
        <f>География!E6</f>
        <v>0</v>
      </c>
      <c r="F6" s="6">
        <f>ИИ!E6</f>
        <v>0</v>
      </c>
      <c r="G6" s="7">
        <f>Инф.без.!E6</f>
        <v>0</v>
      </c>
      <c r="H6" s="6">
        <f>Искусство!E6</f>
        <v>0</v>
      </c>
      <c r="I6" s="7">
        <f>Исп.язык!E6</f>
        <v>0</v>
      </c>
      <c r="J6" s="6">
        <f>История!E6</f>
        <v>0</v>
      </c>
      <c r="K6" s="7">
        <f>Итал.язык!E6</f>
        <v>0</v>
      </c>
      <c r="L6" s="6">
        <f>Кит.язык!E6</f>
        <v>0</v>
      </c>
      <c r="M6" s="7">
        <f>Литература!E6</f>
        <v>0</v>
      </c>
      <c r="N6" s="6">
        <f>Математика!E6</f>
        <v>0</v>
      </c>
      <c r="O6" s="7">
        <f>Нем.язык!E6</f>
        <v>0</v>
      </c>
      <c r="P6" s="6">
        <f>ОБЗР!E6</f>
        <v>0</v>
      </c>
      <c r="Q6" s="7">
        <f>Обществознание!E6</f>
        <v>0</v>
      </c>
      <c r="R6" s="6">
        <f>Право!E6</f>
        <v>0</v>
      </c>
      <c r="S6" s="7">
        <f>Программирование!E6</f>
        <v>0</v>
      </c>
      <c r="T6" s="6">
        <f>Робототехника!E6</f>
        <v>0</v>
      </c>
      <c r="U6" s="7">
        <f>'Русский язык'!E6</f>
        <v>0</v>
      </c>
      <c r="V6" s="6">
        <f>Труд!E6</f>
        <v>0</v>
      </c>
      <c r="W6" s="7">
        <f>Физ.культура!E6</f>
        <v>0</v>
      </c>
      <c r="X6" s="6">
        <f>Физика!E6</f>
        <v>0</v>
      </c>
      <c r="Y6" s="7">
        <f>Фран.язык!E6</f>
        <v>0</v>
      </c>
      <c r="Z6" s="6">
        <f>Химия!E6</f>
        <v>0</v>
      </c>
      <c r="AA6" s="7">
        <f>Экология!E6</f>
        <v>0</v>
      </c>
      <c r="AB6" s="6">
        <f>Экономика!E6</f>
        <v>0</v>
      </c>
    </row>
    <row r="7" spans="1:28" x14ac:dyDescent="0.25">
      <c r="A7" s="5" t="s">
        <v>17</v>
      </c>
      <c r="B7" s="6">
        <f>'Англ. язык'!E7</f>
        <v>0</v>
      </c>
      <c r="C7" s="7">
        <f>Астрономия!E7</f>
        <v>0</v>
      </c>
      <c r="D7" s="6">
        <f>Биология!E7</f>
        <v>0</v>
      </c>
      <c r="E7" s="7">
        <f>География!E7</f>
        <v>0</v>
      </c>
      <c r="F7" s="6">
        <f>ИИ!E7</f>
        <v>0</v>
      </c>
      <c r="G7" s="7">
        <f>Инф.без.!E7</f>
        <v>0</v>
      </c>
      <c r="H7" s="6">
        <f>Искусство!E7</f>
        <v>0</v>
      </c>
      <c r="I7" s="7">
        <f>Исп.язык!E7</f>
        <v>0</v>
      </c>
      <c r="J7" s="6">
        <f>История!E7</f>
        <v>0</v>
      </c>
      <c r="K7" s="7">
        <f>Итал.язык!E7</f>
        <v>0</v>
      </c>
      <c r="L7" s="6">
        <f>Кит.язык!E7</f>
        <v>0</v>
      </c>
      <c r="M7" s="7">
        <f>Литература!E7</f>
        <v>0</v>
      </c>
      <c r="N7" s="6">
        <f>Математика!E7</f>
        <v>0</v>
      </c>
      <c r="O7" s="7">
        <f>Нем.язык!E7</f>
        <v>0</v>
      </c>
      <c r="P7" s="6">
        <f>ОБЗР!E7</f>
        <v>0</v>
      </c>
      <c r="Q7" s="7">
        <f>Обществознание!E7</f>
        <v>0</v>
      </c>
      <c r="R7" s="6">
        <f>Право!E7</f>
        <v>0</v>
      </c>
      <c r="S7" s="7">
        <f>Программирование!E7</f>
        <v>0</v>
      </c>
      <c r="T7" s="6">
        <f>Робототехника!E7</f>
        <v>0</v>
      </c>
      <c r="U7" s="7">
        <f>'Русский язык'!E7</f>
        <v>0</v>
      </c>
      <c r="V7" s="6">
        <f>Труд!E7</f>
        <v>0</v>
      </c>
      <c r="W7" s="7">
        <f>Физ.культура!E7</f>
        <v>0</v>
      </c>
      <c r="X7" s="6">
        <f>Физика!E7</f>
        <v>0</v>
      </c>
      <c r="Y7" s="7">
        <f>Фран.язык!E7</f>
        <v>0</v>
      </c>
      <c r="Z7" s="6">
        <f>Химия!E7</f>
        <v>0</v>
      </c>
      <c r="AA7" s="7">
        <f>Экология!E7</f>
        <v>0</v>
      </c>
      <c r="AB7" s="6">
        <f>Экономика!E7</f>
        <v>0</v>
      </c>
    </row>
    <row r="8" spans="1:28" x14ac:dyDescent="0.25">
      <c r="A8" s="5" t="s">
        <v>19</v>
      </c>
      <c r="B8" s="6">
        <f>'Англ. язык'!E8</f>
        <v>0</v>
      </c>
      <c r="C8" s="7">
        <f>Астрономия!E8</f>
        <v>0</v>
      </c>
      <c r="D8" s="6">
        <f>Биология!E8</f>
        <v>0</v>
      </c>
      <c r="E8" s="7">
        <f>География!E8</f>
        <v>0</v>
      </c>
      <c r="F8" s="6">
        <f>ИИ!E8</f>
        <v>0</v>
      </c>
      <c r="G8" s="7">
        <f>Инф.без.!E8</f>
        <v>0</v>
      </c>
      <c r="H8" s="6">
        <f>Искусство!E8</f>
        <v>0</v>
      </c>
      <c r="I8" s="7">
        <f>Исп.язык!E8</f>
        <v>0</v>
      </c>
      <c r="J8" s="6">
        <f>История!E8</f>
        <v>0</v>
      </c>
      <c r="K8" s="7">
        <f>Итал.язык!E8</f>
        <v>0</v>
      </c>
      <c r="L8" s="6">
        <f>Кит.язык!E8</f>
        <v>0</v>
      </c>
      <c r="M8" s="7">
        <f>Литература!E8</f>
        <v>0</v>
      </c>
      <c r="N8" s="6">
        <f>Математика!E8</f>
        <v>0</v>
      </c>
      <c r="O8" s="7">
        <f>Нем.язык!E8</f>
        <v>0</v>
      </c>
      <c r="P8" s="6">
        <f>ОБЗР!E8</f>
        <v>0</v>
      </c>
      <c r="Q8" s="7">
        <f>Обществознание!E8</f>
        <v>0</v>
      </c>
      <c r="R8" s="6">
        <f>Право!E8</f>
        <v>0</v>
      </c>
      <c r="S8" s="7">
        <f>Программирование!E8</f>
        <v>0</v>
      </c>
      <c r="T8" s="6">
        <f>Робототехника!E8</f>
        <v>0</v>
      </c>
      <c r="U8" s="7">
        <f>'Русский язык'!E8</f>
        <v>0</v>
      </c>
      <c r="V8" s="6">
        <f>Труд!E8</f>
        <v>0</v>
      </c>
      <c r="W8" s="7">
        <f>Физ.культура!E8</f>
        <v>0</v>
      </c>
      <c r="X8" s="6">
        <f>Физика!E8</f>
        <v>0</v>
      </c>
      <c r="Y8" s="7">
        <f>Фран.язык!E8</f>
        <v>0</v>
      </c>
      <c r="Z8" s="6">
        <f>Химия!E8</f>
        <v>0</v>
      </c>
      <c r="AA8" s="7">
        <f>Экология!E8</f>
        <v>0</v>
      </c>
      <c r="AB8" s="6">
        <f>Экономика!E8</f>
        <v>0</v>
      </c>
    </row>
    <row r="9" spans="1:28" x14ac:dyDescent="0.25">
      <c r="A9" s="5" t="s">
        <v>3</v>
      </c>
      <c r="B9" s="6">
        <f>'Англ. язык'!E9</f>
        <v>1</v>
      </c>
      <c r="C9" s="7">
        <f>Астрономия!E9</f>
        <v>0</v>
      </c>
      <c r="D9" s="6">
        <f>Биология!E9</f>
        <v>1</v>
      </c>
      <c r="E9" s="7">
        <f>География!E9</f>
        <v>1</v>
      </c>
      <c r="F9" s="6">
        <f>ИИ!E9</f>
        <v>1</v>
      </c>
      <c r="G9" s="7">
        <f>Инф.без.!E9</f>
        <v>1</v>
      </c>
      <c r="H9" s="6">
        <f>Искусство!E9</f>
        <v>0</v>
      </c>
      <c r="I9" s="7">
        <f>Исп.язык!E9</f>
        <v>1</v>
      </c>
      <c r="J9" s="6">
        <f>История!E9</f>
        <v>0</v>
      </c>
      <c r="K9" s="7">
        <f>Итал.язык!E9</f>
        <v>1</v>
      </c>
      <c r="L9" s="6">
        <f>Кит.язык!E9</f>
        <v>0</v>
      </c>
      <c r="M9" s="7">
        <f>Литература!E9</f>
        <v>0</v>
      </c>
      <c r="N9" s="6">
        <f>Математика!E9</f>
        <v>0</v>
      </c>
      <c r="O9" s="7">
        <f>Нем.язык!E9</f>
        <v>1</v>
      </c>
      <c r="P9" s="6">
        <f>ОБЗР!E9</f>
        <v>0</v>
      </c>
      <c r="Q9" s="7">
        <f>Обществознание!E9</f>
        <v>0</v>
      </c>
      <c r="R9" s="6">
        <f>Право!E9</f>
        <v>0</v>
      </c>
      <c r="S9" s="7">
        <f>Программирование!E9</f>
        <v>0</v>
      </c>
      <c r="T9" s="6">
        <f>Робототехника!E9</f>
        <v>0</v>
      </c>
      <c r="U9" s="7">
        <f>'Русский язык'!E9</f>
        <v>0</v>
      </c>
      <c r="V9" s="6">
        <f>Труд!E9</f>
        <v>0</v>
      </c>
      <c r="W9" s="7">
        <f>Физ.культура!E9</f>
        <v>0</v>
      </c>
      <c r="X9" s="6">
        <f>Физика!E9</f>
        <v>0</v>
      </c>
      <c r="Y9" s="7">
        <f>Фран.язык!E9</f>
        <v>0</v>
      </c>
      <c r="Z9" s="6">
        <f>Химия!E9</f>
        <v>0</v>
      </c>
      <c r="AA9" s="7">
        <f>Экология!E9</f>
        <v>0</v>
      </c>
      <c r="AB9" s="6">
        <f>Экономика!E9</f>
        <v>0</v>
      </c>
    </row>
    <row r="10" spans="1:28" x14ac:dyDescent="0.25">
      <c r="A10" s="5" t="s">
        <v>20</v>
      </c>
      <c r="B10" s="6">
        <f>'Англ. язык'!E10</f>
        <v>0</v>
      </c>
      <c r="C10" s="7">
        <f>Астрономия!E10</f>
        <v>0</v>
      </c>
      <c r="D10" s="6">
        <f>Биология!E10</f>
        <v>0</v>
      </c>
      <c r="E10" s="7">
        <f>География!E10</f>
        <v>0</v>
      </c>
      <c r="F10" s="6">
        <f>ИИ!E10</f>
        <v>0</v>
      </c>
      <c r="G10" s="7">
        <f>Инф.без.!E10</f>
        <v>0</v>
      </c>
      <c r="H10" s="6">
        <f>Искусство!E10</f>
        <v>0</v>
      </c>
      <c r="I10" s="7">
        <f>Исп.язык!E10</f>
        <v>0</v>
      </c>
      <c r="J10" s="6">
        <f>История!E10</f>
        <v>0</v>
      </c>
      <c r="K10" s="7">
        <f>Итал.язык!E10</f>
        <v>0</v>
      </c>
      <c r="L10" s="6">
        <f>Кит.язык!E10</f>
        <v>0</v>
      </c>
      <c r="M10" s="7">
        <f>Литература!E10</f>
        <v>0</v>
      </c>
      <c r="N10" s="6">
        <f>Математика!E10</f>
        <v>0</v>
      </c>
      <c r="O10" s="7">
        <f>Нем.язык!E10</f>
        <v>0</v>
      </c>
      <c r="P10" s="6">
        <f>ОБЗР!E10</f>
        <v>0</v>
      </c>
      <c r="Q10" s="7">
        <f>Обществознание!E10</f>
        <v>0</v>
      </c>
      <c r="R10" s="6">
        <f>Право!E10</f>
        <v>0</v>
      </c>
      <c r="S10" s="7">
        <f>Программирование!E10</f>
        <v>0</v>
      </c>
      <c r="T10" s="6">
        <f>Робототехника!E10</f>
        <v>0</v>
      </c>
      <c r="U10" s="7">
        <f>'Русский язык'!E10</f>
        <v>0</v>
      </c>
      <c r="V10" s="6">
        <f>Труд!E10</f>
        <v>0</v>
      </c>
      <c r="W10" s="7">
        <f>Физ.культура!E10</f>
        <v>0</v>
      </c>
      <c r="X10" s="6">
        <f>Физика!E10</f>
        <v>0</v>
      </c>
      <c r="Y10" s="7">
        <f>Фран.язык!E10</f>
        <v>0</v>
      </c>
      <c r="Z10" s="6">
        <f>Химия!E10</f>
        <v>0</v>
      </c>
      <c r="AA10" s="7">
        <f>Экология!E10</f>
        <v>0</v>
      </c>
      <c r="AB10" s="6">
        <f>Экономика!E10</f>
        <v>0</v>
      </c>
    </row>
    <row r="11" spans="1:28" x14ac:dyDescent="0.25">
      <c r="A11" s="5" t="s">
        <v>21</v>
      </c>
      <c r="B11" s="6">
        <f>'Англ. язык'!E11</f>
        <v>0</v>
      </c>
      <c r="C11" s="7">
        <f>Астрономия!E11</f>
        <v>0</v>
      </c>
      <c r="D11" s="6">
        <f>Биология!E11</f>
        <v>0</v>
      </c>
      <c r="E11" s="7">
        <f>География!E11</f>
        <v>0</v>
      </c>
      <c r="F11" s="6">
        <f>ИИ!E11</f>
        <v>0</v>
      </c>
      <c r="G11" s="7">
        <f>Инф.без.!E11</f>
        <v>0</v>
      </c>
      <c r="H11" s="6">
        <f>Искусство!E11</f>
        <v>0</v>
      </c>
      <c r="I11" s="7">
        <f>Исп.язык!E11</f>
        <v>0</v>
      </c>
      <c r="J11" s="6">
        <f>История!E11</f>
        <v>0</v>
      </c>
      <c r="K11" s="7">
        <f>Итал.язык!E11</f>
        <v>0</v>
      </c>
      <c r="L11" s="6">
        <f>Кит.язык!E11</f>
        <v>0</v>
      </c>
      <c r="M11" s="7">
        <f>Литература!E11</f>
        <v>0</v>
      </c>
      <c r="N11" s="6">
        <f>Математика!E11</f>
        <v>0</v>
      </c>
      <c r="O11" s="7">
        <f>Нем.язык!E11</f>
        <v>0</v>
      </c>
      <c r="P11" s="6">
        <f>ОБЗР!E11</f>
        <v>0</v>
      </c>
      <c r="Q11" s="7">
        <f>Обществознание!E11</f>
        <v>0</v>
      </c>
      <c r="R11" s="6">
        <f>Право!E11</f>
        <v>0</v>
      </c>
      <c r="S11" s="7">
        <f>Программирование!E11</f>
        <v>0</v>
      </c>
      <c r="T11" s="6">
        <f>Робототехника!E11</f>
        <v>0</v>
      </c>
      <c r="U11" s="7">
        <f>'Русский язык'!E11</f>
        <v>0</v>
      </c>
      <c r="V11" s="6">
        <f>Труд!E11</f>
        <v>0</v>
      </c>
      <c r="W11" s="7">
        <f>Физ.культура!E11</f>
        <v>0</v>
      </c>
      <c r="X11" s="6">
        <f>Физика!E11</f>
        <v>0</v>
      </c>
      <c r="Y11" s="7">
        <f>Фран.язык!E11</f>
        <v>0</v>
      </c>
      <c r="Z11" s="6">
        <f>Химия!E11</f>
        <v>0</v>
      </c>
      <c r="AA11" s="7">
        <f>Экология!E11</f>
        <v>0</v>
      </c>
      <c r="AB11" s="6">
        <f>Экономика!E11</f>
        <v>0</v>
      </c>
    </row>
    <row r="12" spans="1:28" x14ac:dyDescent="0.25">
      <c r="A12" s="5" t="s">
        <v>22</v>
      </c>
      <c r="B12" s="6">
        <f>'Англ. язык'!E12</f>
        <v>0</v>
      </c>
      <c r="C12" s="7">
        <f>Астрономия!E12</f>
        <v>0</v>
      </c>
      <c r="D12" s="6">
        <f>Биология!E12</f>
        <v>0</v>
      </c>
      <c r="E12" s="7">
        <f>География!E12</f>
        <v>0</v>
      </c>
      <c r="F12" s="6">
        <f>ИИ!E12</f>
        <v>0</v>
      </c>
      <c r="G12" s="7">
        <f>Инф.без.!E12</f>
        <v>0</v>
      </c>
      <c r="H12" s="6">
        <f>Искусство!E12</f>
        <v>0</v>
      </c>
      <c r="I12" s="7">
        <f>Исп.язык!E12</f>
        <v>0</v>
      </c>
      <c r="J12" s="6">
        <f>История!E12</f>
        <v>0</v>
      </c>
      <c r="K12" s="7">
        <f>Итал.язык!E12</f>
        <v>0</v>
      </c>
      <c r="L12" s="6">
        <f>Кит.язык!E12</f>
        <v>0</v>
      </c>
      <c r="M12" s="7">
        <f>Литература!E12</f>
        <v>0</v>
      </c>
      <c r="N12" s="6">
        <f>Математика!E12</f>
        <v>0</v>
      </c>
      <c r="O12" s="7">
        <f>Нем.язык!E12</f>
        <v>0</v>
      </c>
      <c r="P12" s="6">
        <f>ОБЗР!E12</f>
        <v>0</v>
      </c>
      <c r="Q12" s="7">
        <f>Обществознание!E12</f>
        <v>0</v>
      </c>
      <c r="R12" s="6">
        <f>Право!E12</f>
        <v>0</v>
      </c>
      <c r="S12" s="7">
        <f>Программирование!E12</f>
        <v>0</v>
      </c>
      <c r="T12" s="6">
        <f>Робототехника!E12</f>
        <v>0</v>
      </c>
      <c r="U12" s="7">
        <f>'Русский язык'!E12</f>
        <v>0</v>
      </c>
      <c r="V12" s="6">
        <f>Труд!E12</f>
        <v>0</v>
      </c>
      <c r="W12" s="7">
        <f>Физ.культура!E12</f>
        <v>0</v>
      </c>
      <c r="X12" s="6">
        <f>Физика!E12</f>
        <v>0</v>
      </c>
      <c r="Y12" s="7">
        <f>Фран.язык!E12</f>
        <v>0</v>
      </c>
      <c r="Z12" s="6">
        <f>Химия!E12</f>
        <v>0</v>
      </c>
      <c r="AA12" s="7">
        <f>Экология!E12</f>
        <v>0</v>
      </c>
      <c r="AB12" s="6">
        <f>Экономика!E12</f>
        <v>0</v>
      </c>
    </row>
    <row r="13" spans="1:28" x14ac:dyDescent="0.25">
      <c r="A13" s="5" t="s">
        <v>23</v>
      </c>
      <c r="B13" s="6">
        <f>'Англ. язык'!E13</f>
        <v>0</v>
      </c>
      <c r="C13" s="7">
        <f>Астрономия!E13</f>
        <v>0</v>
      </c>
      <c r="D13" s="6">
        <f>Биология!E13</f>
        <v>0</v>
      </c>
      <c r="E13" s="7">
        <f>География!E13</f>
        <v>0</v>
      </c>
      <c r="F13" s="6">
        <f>ИИ!E13</f>
        <v>0</v>
      </c>
      <c r="G13" s="7">
        <f>Инф.без.!E13</f>
        <v>0</v>
      </c>
      <c r="H13" s="6">
        <f>Искусство!E13</f>
        <v>0</v>
      </c>
      <c r="I13" s="7">
        <f>Исп.язык!E13</f>
        <v>0</v>
      </c>
      <c r="J13" s="6">
        <f>История!E13</f>
        <v>0</v>
      </c>
      <c r="K13" s="7">
        <f>Итал.язык!E13</f>
        <v>0</v>
      </c>
      <c r="L13" s="6">
        <f>Кит.язык!E13</f>
        <v>0</v>
      </c>
      <c r="M13" s="7">
        <f>Литература!E13</f>
        <v>0</v>
      </c>
      <c r="N13" s="6">
        <f>Математика!E13</f>
        <v>0</v>
      </c>
      <c r="O13" s="7">
        <f>Нем.язык!E13</f>
        <v>0</v>
      </c>
      <c r="P13" s="6">
        <f>ОБЗР!E13</f>
        <v>0</v>
      </c>
      <c r="Q13" s="7">
        <f>Обществознание!E13</f>
        <v>0</v>
      </c>
      <c r="R13" s="6">
        <f>Право!E13</f>
        <v>0</v>
      </c>
      <c r="S13" s="7">
        <f>Программирование!E13</f>
        <v>0</v>
      </c>
      <c r="T13" s="6">
        <f>Робототехника!E13</f>
        <v>0</v>
      </c>
      <c r="U13" s="7">
        <f>'Русский язык'!E13</f>
        <v>0</v>
      </c>
      <c r="V13" s="6">
        <f>Труд!E13</f>
        <v>0</v>
      </c>
      <c r="W13" s="7">
        <f>Физ.культура!E13</f>
        <v>0</v>
      </c>
      <c r="X13" s="6">
        <f>Физика!E13</f>
        <v>0</v>
      </c>
      <c r="Y13" s="7">
        <f>Фран.язык!E13</f>
        <v>0</v>
      </c>
      <c r="Z13" s="6">
        <f>Химия!E13</f>
        <v>0</v>
      </c>
      <c r="AA13" s="7">
        <f>Экология!E13</f>
        <v>0</v>
      </c>
      <c r="AB13" s="6">
        <f>Экономика!E13</f>
        <v>0</v>
      </c>
    </row>
    <row r="14" spans="1:28" x14ac:dyDescent="0.25">
      <c r="A14" s="5" t="s">
        <v>24</v>
      </c>
      <c r="B14" s="6">
        <f>'Англ. язык'!E14</f>
        <v>0</v>
      </c>
      <c r="C14" s="7">
        <f>Астрономия!E14</f>
        <v>0</v>
      </c>
      <c r="D14" s="6">
        <f>Биология!E14</f>
        <v>0</v>
      </c>
      <c r="E14" s="7">
        <f>География!E14</f>
        <v>0</v>
      </c>
      <c r="F14" s="6">
        <f>ИИ!E14</f>
        <v>0</v>
      </c>
      <c r="G14" s="7">
        <f>Инф.без.!E14</f>
        <v>0</v>
      </c>
      <c r="H14" s="6">
        <f>Искусство!E14</f>
        <v>0</v>
      </c>
      <c r="I14" s="7">
        <f>Исп.язык!E14</f>
        <v>0</v>
      </c>
      <c r="J14" s="6">
        <f>История!E14</f>
        <v>0</v>
      </c>
      <c r="K14" s="7">
        <f>Итал.язык!E14</f>
        <v>0</v>
      </c>
      <c r="L14" s="6">
        <f>Кит.язык!E14</f>
        <v>0</v>
      </c>
      <c r="M14" s="7">
        <f>Литература!E14</f>
        <v>0</v>
      </c>
      <c r="N14" s="6">
        <f>Математика!E14</f>
        <v>0</v>
      </c>
      <c r="O14" s="7">
        <f>Нем.язык!E14</f>
        <v>0</v>
      </c>
      <c r="P14" s="6">
        <f>ОБЗР!E14</f>
        <v>0</v>
      </c>
      <c r="Q14" s="7">
        <f>Обществознание!E14</f>
        <v>0</v>
      </c>
      <c r="R14" s="6">
        <f>Право!E14</f>
        <v>0</v>
      </c>
      <c r="S14" s="7">
        <f>Программирование!E14</f>
        <v>0</v>
      </c>
      <c r="T14" s="6">
        <f>Робототехника!E14</f>
        <v>0</v>
      </c>
      <c r="U14" s="7">
        <f>'Русский язык'!E14</f>
        <v>0</v>
      </c>
      <c r="V14" s="6">
        <f>Труд!E14</f>
        <v>0</v>
      </c>
      <c r="W14" s="7">
        <f>Физ.культура!E14</f>
        <v>0</v>
      </c>
      <c r="X14" s="6">
        <f>Физика!E14</f>
        <v>0</v>
      </c>
      <c r="Y14" s="7">
        <f>Фран.язык!E14</f>
        <v>0</v>
      </c>
      <c r="Z14" s="6">
        <f>Химия!E14</f>
        <v>0</v>
      </c>
      <c r="AA14" s="7">
        <f>Экология!E14</f>
        <v>0</v>
      </c>
      <c r="AB14" s="6">
        <f>Экономика!E14</f>
        <v>0</v>
      </c>
    </row>
    <row r="15" spans="1:28" x14ac:dyDescent="0.25">
      <c r="A15" s="5" t="s">
        <v>25</v>
      </c>
      <c r="B15" s="6">
        <f>'Англ. язык'!E15</f>
        <v>0</v>
      </c>
      <c r="C15" s="7">
        <f>Астрономия!E15</f>
        <v>0</v>
      </c>
      <c r="D15" s="6">
        <f>Биология!E15</f>
        <v>0</v>
      </c>
      <c r="E15" s="7">
        <f>География!E15</f>
        <v>0</v>
      </c>
      <c r="F15" s="6">
        <f>ИИ!E15</f>
        <v>0</v>
      </c>
      <c r="G15" s="7">
        <f>Инф.без.!E15</f>
        <v>0</v>
      </c>
      <c r="H15" s="6">
        <f>Искусство!E15</f>
        <v>0</v>
      </c>
      <c r="I15" s="7">
        <f>Исп.язык!E15</f>
        <v>0</v>
      </c>
      <c r="J15" s="6">
        <f>История!E15</f>
        <v>0</v>
      </c>
      <c r="K15" s="7">
        <f>Итал.язык!E15</f>
        <v>0</v>
      </c>
      <c r="L15" s="6">
        <f>Кит.язык!E15</f>
        <v>0</v>
      </c>
      <c r="M15" s="7">
        <f>Литература!E15</f>
        <v>0</v>
      </c>
      <c r="N15" s="6">
        <f>Математика!E15</f>
        <v>0</v>
      </c>
      <c r="O15" s="7">
        <f>Нем.язык!E15</f>
        <v>0</v>
      </c>
      <c r="P15" s="6">
        <f>ОБЗР!E15</f>
        <v>0</v>
      </c>
      <c r="Q15" s="7">
        <f>Обществознание!E15</f>
        <v>0</v>
      </c>
      <c r="R15" s="6">
        <f>Право!E15</f>
        <v>0</v>
      </c>
      <c r="S15" s="7">
        <f>Программирование!E15</f>
        <v>0</v>
      </c>
      <c r="T15" s="6">
        <f>Робототехника!E15</f>
        <v>0</v>
      </c>
      <c r="U15" s="7">
        <f>'Русский язык'!E15</f>
        <v>0</v>
      </c>
      <c r="V15" s="6">
        <f>Труд!E15</f>
        <v>0</v>
      </c>
      <c r="W15" s="7">
        <f>Физ.культура!E15</f>
        <v>0</v>
      </c>
      <c r="X15" s="6">
        <f>Физика!E15</f>
        <v>0</v>
      </c>
      <c r="Y15" s="7">
        <f>Фран.язык!E15</f>
        <v>0</v>
      </c>
      <c r="Z15" s="6">
        <f>Химия!E15</f>
        <v>0</v>
      </c>
      <c r="AA15" s="7">
        <f>Экология!E15</f>
        <v>0</v>
      </c>
      <c r="AB15" s="6">
        <f>Экономика!E15</f>
        <v>0</v>
      </c>
    </row>
    <row r="16" spans="1:28" x14ac:dyDescent="0.25">
      <c r="A16" s="5" t="s">
        <v>26</v>
      </c>
      <c r="B16" s="6">
        <f>'Англ. язык'!E16</f>
        <v>0</v>
      </c>
      <c r="C16" s="7">
        <f>Астрономия!E16</f>
        <v>0</v>
      </c>
      <c r="D16" s="6">
        <f>Биология!E16</f>
        <v>0</v>
      </c>
      <c r="E16" s="7">
        <f>География!E16</f>
        <v>0</v>
      </c>
      <c r="F16" s="6">
        <f>ИИ!E16</f>
        <v>0</v>
      </c>
      <c r="G16" s="7">
        <f>Инф.без.!E16</f>
        <v>0</v>
      </c>
      <c r="H16" s="6">
        <f>Искусство!E16</f>
        <v>0</v>
      </c>
      <c r="I16" s="7">
        <f>Исп.язык!E16</f>
        <v>0</v>
      </c>
      <c r="J16" s="6">
        <f>История!E16</f>
        <v>0</v>
      </c>
      <c r="K16" s="7">
        <f>Итал.язык!E16</f>
        <v>0</v>
      </c>
      <c r="L16" s="6">
        <f>Кит.язык!E16</f>
        <v>0</v>
      </c>
      <c r="M16" s="7">
        <f>Литература!E16</f>
        <v>0</v>
      </c>
      <c r="N16" s="6">
        <f>Математика!E16</f>
        <v>0</v>
      </c>
      <c r="O16" s="7">
        <f>Нем.язык!E16</f>
        <v>0</v>
      </c>
      <c r="P16" s="6">
        <f>ОБЗР!E16</f>
        <v>0</v>
      </c>
      <c r="Q16" s="7">
        <f>Обществознание!E16</f>
        <v>0</v>
      </c>
      <c r="R16" s="6">
        <f>Право!E16</f>
        <v>0</v>
      </c>
      <c r="S16" s="7">
        <f>Программирование!E16</f>
        <v>0</v>
      </c>
      <c r="T16" s="6">
        <f>Робототехника!E16</f>
        <v>0</v>
      </c>
      <c r="U16" s="7">
        <f>'Русский язык'!E16</f>
        <v>0</v>
      </c>
      <c r="V16" s="6">
        <f>Труд!E16</f>
        <v>0</v>
      </c>
      <c r="W16" s="7">
        <f>Физ.культура!E16</f>
        <v>0</v>
      </c>
      <c r="X16" s="6">
        <f>Физика!E16</f>
        <v>0</v>
      </c>
      <c r="Y16" s="7">
        <f>Фран.язык!E16</f>
        <v>0</v>
      </c>
      <c r="Z16" s="6">
        <f>Химия!E16</f>
        <v>0</v>
      </c>
      <c r="AA16" s="7">
        <f>Экология!E16</f>
        <v>0</v>
      </c>
      <c r="AB16" s="6">
        <f>Экономика!E16</f>
        <v>0</v>
      </c>
    </row>
    <row r="17" spans="1:28" x14ac:dyDescent="0.25">
      <c r="A17" s="5" t="s">
        <v>27</v>
      </c>
      <c r="B17" s="6">
        <f>'Англ. язык'!E17</f>
        <v>0</v>
      </c>
      <c r="C17" s="7">
        <f>Астрономия!E17</f>
        <v>0</v>
      </c>
      <c r="D17" s="6">
        <f>Биология!E17</f>
        <v>0</v>
      </c>
      <c r="E17" s="7">
        <f>География!E17</f>
        <v>0</v>
      </c>
      <c r="F17" s="6">
        <f>ИИ!E17</f>
        <v>0</v>
      </c>
      <c r="G17" s="7">
        <f>Инф.без.!E17</f>
        <v>0</v>
      </c>
      <c r="H17" s="6">
        <f>Искусство!E17</f>
        <v>0</v>
      </c>
      <c r="I17" s="7">
        <f>Исп.язык!E17</f>
        <v>0</v>
      </c>
      <c r="J17" s="6">
        <f>История!E17</f>
        <v>0</v>
      </c>
      <c r="K17" s="7">
        <f>Итал.язык!E17</f>
        <v>0</v>
      </c>
      <c r="L17" s="6">
        <f>Кит.язык!E17</f>
        <v>0</v>
      </c>
      <c r="M17" s="7">
        <f>Литература!E17</f>
        <v>0</v>
      </c>
      <c r="N17" s="6">
        <f>Математика!E17</f>
        <v>0</v>
      </c>
      <c r="O17" s="7">
        <f>Нем.язык!E17</f>
        <v>0</v>
      </c>
      <c r="P17" s="6">
        <f>ОБЗР!E17</f>
        <v>0</v>
      </c>
      <c r="Q17" s="7">
        <f>Обществознание!E17</f>
        <v>0</v>
      </c>
      <c r="R17" s="6">
        <f>Право!E17</f>
        <v>0</v>
      </c>
      <c r="S17" s="7">
        <f>Программирование!E17</f>
        <v>0</v>
      </c>
      <c r="T17" s="6">
        <f>Робототехника!E17</f>
        <v>0</v>
      </c>
      <c r="U17" s="7">
        <f>'Русский язык'!E17</f>
        <v>0</v>
      </c>
      <c r="V17" s="6">
        <f>Труд!E17</f>
        <v>0</v>
      </c>
      <c r="W17" s="7">
        <f>Физ.культура!E17</f>
        <v>0</v>
      </c>
      <c r="X17" s="6">
        <f>Физика!E17</f>
        <v>0</v>
      </c>
      <c r="Y17" s="7">
        <f>Фран.язык!E17</f>
        <v>0</v>
      </c>
      <c r="Z17" s="6">
        <f>Химия!E17</f>
        <v>0</v>
      </c>
      <c r="AA17" s="7">
        <f>Экология!E17</f>
        <v>0</v>
      </c>
      <c r="AB17" s="6">
        <f>Экономика!E17</f>
        <v>0</v>
      </c>
    </row>
    <row r="18" spans="1:28" x14ac:dyDescent="0.25">
      <c r="A18" s="5" t="s">
        <v>28</v>
      </c>
      <c r="B18" s="6">
        <f>'Англ. язык'!E18</f>
        <v>0</v>
      </c>
      <c r="C18" s="7">
        <f>Астрономия!E18</f>
        <v>0</v>
      </c>
      <c r="D18" s="6">
        <f>Биология!E18</f>
        <v>0</v>
      </c>
      <c r="E18" s="7">
        <f>География!E18</f>
        <v>0</v>
      </c>
      <c r="F18" s="6">
        <f>ИИ!E18</f>
        <v>0</v>
      </c>
      <c r="G18" s="7">
        <f>Инф.без.!E18</f>
        <v>0</v>
      </c>
      <c r="H18" s="6">
        <f>Искусство!E18</f>
        <v>0</v>
      </c>
      <c r="I18" s="7">
        <f>Исп.язык!E18</f>
        <v>0</v>
      </c>
      <c r="J18" s="6">
        <f>История!E18</f>
        <v>0</v>
      </c>
      <c r="K18" s="7">
        <f>Итал.язык!E18</f>
        <v>0</v>
      </c>
      <c r="L18" s="6">
        <f>Кит.язык!E18</f>
        <v>0</v>
      </c>
      <c r="M18" s="7">
        <f>Литература!E18</f>
        <v>0</v>
      </c>
      <c r="N18" s="6">
        <f>Математика!E18</f>
        <v>0</v>
      </c>
      <c r="O18" s="7">
        <f>Нем.язык!E18</f>
        <v>0</v>
      </c>
      <c r="P18" s="6">
        <f>ОБЗР!E18</f>
        <v>0</v>
      </c>
      <c r="Q18" s="7">
        <f>Обществознание!E18</f>
        <v>0</v>
      </c>
      <c r="R18" s="6">
        <f>Право!E18</f>
        <v>0</v>
      </c>
      <c r="S18" s="7">
        <f>Программирование!E18</f>
        <v>0</v>
      </c>
      <c r="T18" s="6">
        <f>Робототехника!E18</f>
        <v>0</v>
      </c>
      <c r="U18" s="7">
        <f>'Русский язык'!E18</f>
        <v>0</v>
      </c>
      <c r="V18" s="6">
        <f>Труд!E18</f>
        <v>0</v>
      </c>
      <c r="W18" s="7">
        <f>Физ.культура!E18</f>
        <v>0</v>
      </c>
      <c r="X18" s="6">
        <f>Физика!E18</f>
        <v>0</v>
      </c>
      <c r="Y18" s="7">
        <f>Фран.язык!E18</f>
        <v>0</v>
      </c>
      <c r="Z18" s="6">
        <f>Химия!E18</f>
        <v>0</v>
      </c>
      <c r="AA18" s="7">
        <f>Экология!E18</f>
        <v>0</v>
      </c>
      <c r="AB18" s="6">
        <f>Экономика!E18</f>
        <v>0</v>
      </c>
    </row>
    <row r="19" spans="1:28" x14ac:dyDescent="0.25">
      <c r="A19" s="5" t="s">
        <v>29</v>
      </c>
      <c r="B19" s="6">
        <f>'Англ. язык'!E19</f>
        <v>0</v>
      </c>
      <c r="C19" s="7">
        <f>Астрономия!E19</f>
        <v>0</v>
      </c>
      <c r="D19" s="6">
        <f>Биология!E19</f>
        <v>0</v>
      </c>
      <c r="E19" s="7">
        <f>География!E19</f>
        <v>0</v>
      </c>
      <c r="F19" s="6">
        <f>ИИ!E19</f>
        <v>0</v>
      </c>
      <c r="G19" s="7">
        <f>Инф.без.!E19</f>
        <v>0</v>
      </c>
      <c r="H19" s="6">
        <f>Искусство!E19</f>
        <v>0</v>
      </c>
      <c r="I19" s="7">
        <f>Исп.язык!E19</f>
        <v>0</v>
      </c>
      <c r="J19" s="6">
        <f>История!E19</f>
        <v>0</v>
      </c>
      <c r="K19" s="7">
        <f>Итал.язык!E19</f>
        <v>0</v>
      </c>
      <c r="L19" s="6">
        <f>Кит.язык!E19</f>
        <v>0</v>
      </c>
      <c r="M19" s="7">
        <f>Литература!E19</f>
        <v>0</v>
      </c>
      <c r="N19" s="6">
        <f>Математика!E19</f>
        <v>0</v>
      </c>
      <c r="O19" s="7">
        <f>Нем.язык!E19</f>
        <v>0</v>
      </c>
      <c r="P19" s="6">
        <f>ОБЗР!E19</f>
        <v>0</v>
      </c>
      <c r="Q19" s="7">
        <f>Обществознание!E19</f>
        <v>0</v>
      </c>
      <c r="R19" s="6">
        <f>Право!E19</f>
        <v>0</v>
      </c>
      <c r="S19" s="7">
        <f>Программирование!E19</f>
        <v>0</v>
      </c>
      <c r="T19" s="6">
        <f>Робототехника!E19</f>
        <v>0</v>
      </c>
      <c r="U19" s="7">
        <f>'Русский язык'!E19</f>
        <v>0</v>
      </c>
      <c r="V19" s="6">
        <f>Труд!E19</f>
        <v>0</v>
      </c>
      <c r="W19" s="7">
        <f>Физ.культура!E19</f>
        <v>0</v>
      </c>
      <c r="X19" s="6">
        <f>Физика!E19</f>
        <v>0</v>
      </c>
      <c r="Y19" s="7">
        <f>Фран.язык!E19</f>
        <v>0</v>
      </c>
      <c r="Z19" s="6">
        <f>Химия!E19</f>
        <v>0</v>
      </c>
      <c r="AA19" s="7">
        <f>Экология!E19</f>
        <v>0</v>
      </c>
      <c r="AB19" s="6">
        <f>Экономика!E19</f>
        <v>0</v>
      </c>
    </row>
    <row r="20" spans="1:28" x14ac:dyDescent="0.25">
      <c r="A20" s="5" t="s">
        <v>30</v>
      </c>
      <c r="B20" s="6">
        <f>'Англ. язык'!E20</f>
        <v>0</v>
      </c>
      <c r="C20" s="7">
        <f>Астрономия!E20</f>
        <v>0</v>
      </c>
      <c r="D20" s="6">
        <f>Биология!E20</f>
        <v>0</v>
      </c>
      <c r="E20" s="7">
        <f>География!E20</f>
        <v>0</v>
      </c>
      <c r="F20" s="6">
        <f>ИИ!E20</f>
        <v>0</v>
      </c>
      <c r="G20" s="7">
        <f>Инф.без.!E20</f>
        <v>0</v>
      </c>
      <c r="H20" s="6">
        <f>Искусство!E20</f>
        <v>0</v>
      </c>
      <c r="I20" s="7">
        <f>Исп.язык!E20</f>
        <v>0</v>
      </c>
      <c r="J20" s="6">
        <f>История!E20</f>
        <v>0</v>
      </c>
      <c r="K20" s="7">
        <f>Итал.язык!E20</f>
        <v>0</v>
      </c>
      <c r="L20" s="6">
        <f>Кит.язык!E20</f>
        <v>0</v>
      </c>
      <c r="M20" s="7">
        <f>Литература!E20</f>
        <v>0</v>
      </c>
      <c r="N20" s="6">
        <f>Математика!E20</f>
        <v>0</v>
      </c>
      <c r="O20" s="7">
        <f>Нем.язык!E20</f>
        <v>0</v>
      </c>
      <c r="P20" s="6">
        <f>ОБЗР!E20</f>
        <v>0</v>
      </c>
      <c r="Q20" s="7">
        <f>Обществознание!E20</f>
        <v>0</v>
      </c>
      <c r="R20" s="6">
        <f>Право!E20</f>
        <v>0</v>
      </c>
      <c r="S20" s="7">
        <f>Программирование!E20</f>
        <v>0</v>
      </c>
      <c r="T20" s="6">
        <f>Робототехника!E20</f>
        <v>0</v>
      </c>
      <c r="U20" s="7">
        <f>'Русский язык'!E20</f>
        <v>0</v>
      </c>
      <c r="V20" s="6">
        <f>Труд!E20</f>
        <v>0</v>
      </c>
      <c r="W20" s="7">
        <f>Физ.культура!E20</f>
        <v>0</v>
      </c>
      <c r="X20" s="6">
        <f>Физика!E20</f>
        <v>0</v>
      </c>
      <c r="Y20" s="7">
        <f>Фран.язык!E20</f>
        <v>0</v>
      </c>
      <c r="Z20" s="6">
        <f>Химия!E20</f>
        <v>0</v>
      </c>
      <c r="AA20" s="7">
        <f>Экология!E20</f>
        <v>0</v>
      </c>
      <c r="AB20" s="6">
        <f>Экономика!E20</f>
        <v>0</v>
      </c>
    </row>
    <row r="21" spans="1:28" x14ac:dyDescent="0.25">
      <c r="A21" s="5" t="s">
        <v>6</v>
      </c>
      <c r="B21" s="6">
        <f>'Англ. язык'!E21</f>
        <v>4</v>
      </c>
      <c r="C21" s="7">
        <f>Астрономия!E21</f>
        <v>4</v>
      </c>
      <c r="D21" s="6">
        <f>Биология!E21</f>
        <v>4</v>
      </c>
      <c r="E21" s="7">
        <f>География!E21</f>
        <v>4</v>
      </c>
      <c r="F21" s="6">
        <f>ИИ!E21</f>
        <v>4</v>
      </c>
      <c r="G21" s="7">
        <f>Инф.без.!E21</f>
        <v>4</v>
      </c>
      <c r="H21" s="6">
        <f>Искусство!E21</f>
        <v>4</v>
      </c>
      <c r="I21" s="7">
        <f>Исп.язык!E21</f>
        <v>2</v>
      </c>
      <c r="J21" s="6">
        <f>История!E21</f>
        <v>2</v>
      </c>
      <c r="K21" s="7">
        <f>Итал.язык!E21</f>
        <v>2</v>
      </c>
      <c r="L21" s="6">
        <f>Кит.язык!E21</f>
        <v>2</v>
      </c>
      <c r="M21" s="7">
        <f>Литература!E21</f>
        <v>2</v>
      </c>
      <c r="N21" s="6">
        <f>Математика!E21</f>
        <v>2</v>
      </c>
      <c r="O21" s="7">
        <f>Нем.язык!E21</f>
        <v>2</v>
      </c>
      <c r="P21" s="6">
        <f>ОБЗР!E21</f>
        <v>2</v>
      </c>
      <c r="Q21" s="7">
        <f>Обществознание!E21</f>
        <v>2</v>
      </c>
      <c r="R21" s="6">
        <f>Право!E21</f>
        <v>2</v>
      </c>
      <c r="S21" s="7">
        <f>Программирование!E21</f>
        <v>2</v>
      </c>
      <c r="T21" s="6">
        <f>Робототехника!E21</f>
        <v>2</v>
      </c>
      <c r="U21" s="7">
        <f>'Русский язык'!E21</f>
        <v>2</v>
      </c>
      <c r="V21" s="6">
        <f>Труд!E21</f>
        <v>2</v>
      </c>
      <c r="W21" s="7">
        <f>Физ.культура!E21</f>
        <v>2</v>
      </c>
      <c r="X21" s="6">
        <f>Физика!E21</f>
        <v>2</v>
      </c>
      <c r="Y21" s="7">
        <f>Фран.язык!E21</f>
        <v>2</v>
      </c>
      <c r="Z21" s="6">
        <f>Химия!E21</f>
        <v>2</v>
      </c>
      <c r="AA21" s="7">
        <f>Экология!E21</f>
        <v>2</v>
      </c>
      <c r="AB21" s="6">
        <f>Экономика!E21</f>
        <v>2</v>
      </c>
    </row>
    <row r="22" spans="1:28" x14ac:dyDescent="0.25">
      <c r="A22" s="5" t="s">
        <v>31</v>
      </c>
      <c r="B22" s="6">
        <f>'Англ. язык'!E22</f>
        <v>0</v>
      </c>
      <c r="C22" s="7">
        <f>Астрономия!E22</f>
        <v>0</v>
      </c>
      <c r="D22" s="6">
        <f>Биология!E22</f>
        <v>0</v>
      </c>
      <c r="E22" s="7">
        <f>География!E22</f>
        <v>0</v>
      </c>
      <c r="F22" s="6">
        <f>ИИ!E22</f>
        <v>0</v>
      </c>
      <c r="G22" s="7">
        <f>Инф.без.!E22</f>
        <v>0</v>
      </c>
      <c r="H22" s="6">
        <f>Искусство!E22</f>
        <v>0</v>
      </c>
      <c r="I22" s="7">
        <f>Исп.язык!E22</f>
        <v>0</v>
      </c>
      <c r="J22" s="6">
        <f>История!E22</f>
        <v>0</v>
      </c>
      <c r="K22" s="7">
        <f>Итал.язык!E22</f>
        <v>0</v>
      </c>
      <c r="L22" s="6">
        <f>Кит.язык!E22</f>
        <v>0</v>
      </c>
      <c r="M22" s="7">
        <f>Литература!E22</f>
        <v>0</v>
      </c>
      <c r="N22" s="6">
        <f>Математика!E22</f>
        <v>0</v>
      </c>
      <c r="O22" s="7">
        <f>Нем.язык!E22</f>
        <v>0</v>
      </c>
      <c r="P22" s="6">
        <f>ОБЗР!E22</f>
        <v>0</v>
      </c>
      <c r="Q22" s="7">
        <f>Обществознание!E22</f>
        <v>0</v>
      </c>
      <c r="R22" s="6">
        <f>Право!E22</f>
        <v>0</v>
      </c>
      <c r="S22" s="7">
        <f>Программирование!E22</f>
        <v>0</v>
      </c>
      <c r="T22" s="6">
        <f>Робототехника!E22</f>
        <v>0</v>
      </c>
      <c r="U22" s="7">
        <f>'Русский язык'!E22</f>
        <v>0</v>
      </c>
      <c r="V22" s="6">
        <f>Труд!E22</f>
        <v>0</v>
      </c>
      <c r="W22" s="7">
        <f>Физ.культура!E22</f>
        <v>0</v>
      </c>
      <c r="X22" s="6">
        <f>Физика!E22</f>
        <v>0</v>
      </c>
      <c r="Y22" s="7">
        <f>Фран.язык!E22</f>
        <v>0</v>
      </c>
      <c r="Z22" s="6">
        <f>Химия!E22</f>
        <v>0</v>
      </c>
      <c r="AA22" s="7">
        <f>Экология!E22</f>
        <v>0</v>
      </c>
      <c r="AB22" s="6">
        <f>Экономика!E22</f>
        <v>0</v>
      </c>
    </row>
    <row r="23" spans="1:28" x14ac:dyDescent="0.25">
      <c r="A23" s="5" t="s">
        <v>32</v>
      </c>
      <c r="B23" s="6">
        <f>'Англ. язык'!E23</f>
        <v>0</v>
      </c>
      <c r="C23" s="7">
        <f>Астрономия!E23</f>
        <v>0</v>
      </c>
      <c r="D23" s="6">
        <f>Биология!E23</f>
        <v>0</v>
      </c>
      <c r="E23" s="7">
        <f>География!E23</f>
        <v>0</v>
      </c>
      <c r="F23" s="6">
        <f>ИИ!E23</f>
        <v>0</v>
      </c>
      <c r="G23" s="7">
        <f>Инф.без.!E23</f>
        <v>0</v>
      </c>
      <c r="H23" s="6">
        <f>Искусство!E23</f>
        <v>0</v>
      </c>
      <c r="I23" s="7">
        <f>Исп.язык!E23</f>
        <v>0</v>
      </c>
      <c r="J23" s="6">
        <f>История!E23</f>
        <v>0</v>
      </c>
      <c r="K23" s="7">
        <f>Итал.язык!E23</f>
        <v>0</v>
      </c>
      <c r="L23" s="6">
        <f>Кит.язык!E23</f>
        <v>0</v>
      </c>
      <c r="M23" s="7">
        <f>Литература!E23</f>
        <v>0</v>
      </c>
      <c r="N23" s="6">
        <f>Математика!E23</f>
        <v>0</v>
      </c>
      <c r="O23" s="7">
        <f>Нем.язык!E23</f>
        <v>0</v>
      </c>
      <c r="P23" s="6">
        <f>ОБЗР!E23</f>
        <v>0</v>
      </c>
      <c r="Q23" s="7">
        <f>Обществознание!E23</f>
        <v>0</v>
      </c>
      <c r="R23" s="6">
        <f>Право!E23</f>
        <v>0</v>
      </c>
      <c r="S23" s="7">
        <f>Программирование!E23</f>
        <v>0</v>
      </c>
      <c r="T23" s="6">
        <f>Робототехника!E23</f>
        <v>0</v>
      </c>
      <c r="U23" s="7">
        <f>'Русский язык'!E23</f>
        <v>0</v>
      </c>
      <c r="V23" s="6">
        <f>Труд!E23</f>
        <v>0</v>
      </c>
      <c r="W23" s="7">
        <f>Физ.культура!E23</f>
        <v>0</v>
      </c>
      <c r="X23" s="6">
        <f>Физика!E23</f>
        <v>0</v>
      </c>
      <c r="Y23" s="7">
        <f>Фран.язык!E23</f>
        <v>0</v>
      </c>
      <c r="Z23" s="6">
        <f>Химия!E23</f>
        <v>0</v>
      </c>
      <c r="AA23" s="7">
        <f>Экология!E23</f>
        <v>0</v>
      </c>
      <c r="AB23" s="6">
        <f>Экономика!E23</f>
        <v>0</v>
      </c>
    </row>
    <row r="24" spans="1:28" x14ac:dyDescent="0.25">
      <c r="A24" s="5" t="s">
        <v>33</v>
      </c>
      <c r="B24" s="6">
        <f>'Англ. язык'!E24</f>
        <v>0</v>
      </c>
      <c r="C24" s="7">
        <f>Астрономия!E24</f>
        <v>0</v>
      </c>
      <c r="D24" s="6">
        <f>Биология!E24</f>
        <v>0</v>
      </c>
      <c r="E24" s="7">
        <f>География!E24</f>
        <v>0</v>
      </c>
      <c r="F24" s="6">
        <f>ИИ!E24</f>
        <v>0</v>
      </c>
      <c r="G24" s="7">
        <f>Инф.без.!E24</f>
        <v>0</v>
      </c>
      <c r="H24" s="6">
        <f>Искусство!E24</f>
        <v>0</v>
      </c>
      <c r="I24" s="7">
        <f>Исп.язык!E24</f>
        <v>0</v>
      </c>
      <c r="J24" s="6">
        <f>История!E24</f>
        <v>0</v>
      </c>
      <c r="K24" s="7">
        <f>Итал.язык!E24</f>
        <v>0</v>
      </c>
      <c r="L24" s="6">
        <f>Кит.язык!E24</f>
        <v>0</v>
      </c>
      <c r="M24" s="7">
        <f>Литература!E24</f>
        <v>0</v>
      </c>
      <c r="N24" s="6">
        <f>Математика!E24</f>
        <v>0</v>
      </c>
      <c r="O24" s="7">
        <f>Нем.язык!E24</f>
        <v>0</v>
      </c>
      <c r="P24" s="6">
        <f>ОБЗР!E24</f>
        <v>0</v>
      </c>
      <c r="Q24" s="7">
        <f>Обществознание!E24</f>
        <v>0</v>
      </c>
      <c r="R24" s="6">
        <f>Право!E24</f>
        <v>0</v>
      </c>
      <c r="S24" s="7">
        <f>Программирование!E24</f>
        <v>0</v>
      </c>
      <c r="T24" s="6">
        <f>Робототехника!E24</f>
        <v>0</v>
      </c>
      <c r="U24" s="7">
        <f>'Русский язык'!E24</f>
        <v>0</v>
      </c>
      <c r="V24" s="6">
        <f>Труд!E24</f>
        <v>0</v>
      </c>
      <c r="W24" s="7">
        <f>Физ.культура!E24</f>
        <v>0</v>
      </c>
      <c r="X24" s="6">
        <f>Физика!E24</f>
        <v>0</v>
      </c>
      <c r="Y24" s="7">
        <f>Фран.язык!E24</f>
        <v>0</v>
      </c>
      <c r="Z24" s="6">
        <f>Химия!E24</f>
        <v>0</v>
      </c>
      <c r="AA24" s="7">
        <f>Экология!E24</f>
        <v>0</v>
      </c>
      <c r="AB24" s="6">
        <f>Экономика!E24</f>
        <v>0</v>
      </c>
    </row>
    <row r="25" spans="1:28" x14ac:dyDescent="0.25">
      <c r="A25" s="5" t="s">
        <v>34</v>
      </c>
      <c r="B25" s="6">
        <f>'Англ. язык'!E25</f>
        <v>0</v>
      </c>
      <c r="C25" s="7">
        <f>Астрономия!E25</f>
        <v>0</v>
      </c>
      <c r="D25" s="6">
        <f>Биология!E25</f>
        <v>0</v>
      </c>
      <c r="E25" s="7">
        <f>География!E25</f>
        <v>0</v>
      </c>
      <c r="F25" s="6">
        <f>ИИ!E25</f>
        <v>0</v>
      </c>
      <c r="G25" s="7">
        <f>Инф.без.!E25</f>
        <v>0</v>
      </c>
      <c r="H25" s="6">
        <f>Искусство!E25</f>
        <v>0</v>
      </c>
      <c r="I25" s="7">
        <f>Исп.язык!E25</f>
        <v>0</v>
      </c>
      <c r="J25" s="6">
        <f>История!E25</f>
        <v>0</v>
      </c>
      <c r="K25" s="7">
        <f>Итал.язык!E25</f>
        <v>0</v>
      </c>
      <c r="L25" s="6">
        <f>Кит.язык!E25</f>
        <v>0</v>
      </c>
      <c r="M25" s="7">
        <f>Литература!E25</f>
        <v>0</v>
      </c>
      <c r="N25" s="6">
        <f>Математика!E25</f>
        <v>0</v>
      </c>
      <c r="O25" s="7">
        <f>Нем.язык!E25</f>
        <v>0</v>
      </c>
      <c r="P25" s="6">
        <f>ОБЗР!E25</f>
        <v>0</v>
      </c>
      <c r="Q25" s="7">
        <f>Обществознание!E25</f>
        <v>0</v>
      </c>
      <c r="R25" s="6">
        <f>Право!E25</f>
        <v>0</v>
      </c>
      <c r="S25" s="7">
        <f>Программирование!E25</f>
        <v>0</v>
      </c>
      <c r="T25" s="6">
        <f>Робототехника!E25</f>
        <v>0</v>
      </c>
      <c r="U25" s="7">
        <f>'Русский язык'!E25</f>
        <v>0</v>
      </c>
      <c r="V25" s="6">
        <f>Труд!E25</f>
        <v>0</v>
      </c>
      <c r="W25" s="7">
        <f>Физ.культура!E25</f>
        <v>0</v>
      </c>
      <c r="X25" s="6">
        <f>Физика!E25</f>
        <v>0</v>
      </c>
      <c r="Y25" s="7">
        <f>Фран.язык!E25</f>
        <v>0</v>
      </c>
      <c r="Z25" s="6">
        <f>Химия!E25</f>
        <v>0</v>
      </c>
      <c r="AA25" s="7">
        <f>Экология!E25</f>
        <v>0</v>
      </c>
      <c r="AB25" s="6">
        <f>Экономика!E25</f>
        <v>0</v>
      </c>
    </row>
    <row r="26" spans="1:28" x14ac:dyDescent="0.25">
      <c r="A26" s="5" t="s">
        <v>35</v>
      </c>
      <c r="B26" s="6">
        <f>'Англ. язык'!E26</f>
        <v>0</v>
      </c>
      <c r="C26" s="7">
        <f>Астрономия!E26</f>
        <v>0</v>
      </c>
      <c r="D26" s="6">
        <f>Биология!E26</f>
        <v>0</v>
      </c>
      <c r="E26" s="7">
        <f>География!E26</f>
        <v>0</v>
      </c>
      <c r="F26" s="6">
        <f>ИИ!E26</f>
        <v>0</v>
      </c>
      <c r="G26" s="7">
        <f>Инф.без.!E26</f>
        <v>0</v>
      </c>
      <c r="H26" s="6">
        <f>Искусство!E26</f>
        <v>0</v>
      </c>
      <c r="I26" s="7">
        <f>Исп.язык!E26</f>
        <v>0</v>
      </c>
      <c r="J26" s="6">
        <f>История!E26</f>
        <v>0</v>
      </c>
      <c r="K26" s="7">
        <f>Итал.язык!E26</f>
        <v>0</v>
      </c>
      <c r="L26" s="6">
        <f>Кит.язык!E26</f>
        <v>0</v>
      </c>
      <c r="M26" s="7">
        <f>Литература!E26</f>
        <v>0</v>
      </c>
      <c r="N26" s="6">
        <f>Математика!E26</f>
        <v>0</v>
      </c>
      <c r="O26" s="7">
        <f>Нем.язык!E26</f>
        <v>0</v>
      </c>
      <c r="P26" s="6">
        <f>ОБЗР!E26</f>
        <v>0</v>
      </c>
      <c r="Q26" s="7">
        <f>Обществознание!E26</f>
        <v>0</v>
      </c>
      <c r="R26" s="6">
        <f>Право!E26</f>
        <v>0</v>
      </c>
      <c r="S26" s="7">
        <f>Программирование!E26</f>
        <v>0</v>
      </c>
      <c r="T26" s="6">
        <f>Робототехника!E26</f>
        <v>0</v>
      </c>
      <c r="U26" s="7">
        <f>'Русский язык'!E26</f>
        <v>0</v>
      </c>
      <c r="V26" s="6">
        <f>Труд!E26</f>
        <v>0</v>
      </c>
      <c r="W26" s="7">
        <f>Физ.культура!E26</f>
        <v>0</v>
      </c>
      <c r="X26" s="6">
        <f>Физика!E26</f>
        <v>0</v>
      </c>
      <c r="Y26" s="7">
        <f>Фран.язык!E26</f>
        <v>0</v>
      </c>
      <c r="Z26" s="6">
        <f>Химия!E26</f>
        <v>0</v>
      </c>
      <c r="AA26" s="7">
        <f>Экология!E26</f>
        <v>0</v>
      </c>
      <c r="AB26" s="6">
        <f>Экономика!E26</f>
        <v>0</v>
      </c>
    </row>
    <row r="27" spans="1:28" x14ac:dyDescent="0.25">
      <c r="A27" s="5" t="s">
        <v>36</v>
      </c>
      <c r="B27" s="6">
        <f>'Англ. язык'!E27</f>
        <v>0</v>
      </c>
      <c r="C27" s="7">
        <f>Астрономия!E27</f>
        <v>0</v>
      </c>
      <c r="D27" s="6">
        <f>Биология!E27</f>
        <v>0</v>
      </c>
      <c r="E27" s="7">
        <f>География!E27</f>
        <v>0</v>
      </c>
      <c r="F27" s="6">
        <f>ИИ!E27</f>
        <v>0</v>
      </c>
      <c r="G27" s="7">
        <f>Инф.без.!E27</f>
        <v>0</v>
      </c>
      <c r="H27" s="6">
        <f>Искусство!E27</f>
        <v>0</v>
      </c>
      <c r="I27" s="7">
        <f>Исп.язык!E27</f>
        <v>0</v>
      </c>
      <c r="J27" s="6">
        <f>История!E27</f>
        <v>0</v>
      </c>
      <c r="K27" s="7">
        <f>Итал.язык!E27</f>
        <v>0</v>
      </c>
      <c r="L27" s="6">
        <f>Кит.язык!E27</f>
        <v>0</v>
      </c>
      <c r="M27" s="7">
        <f>Литература!E27</f>
        <v>0</v>
      </c>
      <c r="N27" s="6">
        <f>Математика!E27</f>
        <v>0</v>
      </c>
      <c r="O27" s="7">
        <f>Нем.язык!E27</f>
        <v>0</v>
      </c>
      <c r="P27" s="6">
        <f>ОБЗР!E27</f>
        <v>0</v>
      </c>
      <c r="Q27" s="7">
        <f>Обществознание!E27</f>
        <v>0</v>
      </c>
      <c r="R27" s="6">
        <f>Право!E27</f>
        <v>0</v>
      </c>
      <c r="S27" s="7">
        <f>Программирование!E27</f>
        <v>0</v>
      </c>
      <c r="T27" s="6">
        <f>Робототехника!E27</f>
        <v>0</v>
      </c>
      <c r="U27" s="7">
        <f>'Русский язык'!E27</f>
        <v>0</v>
      </c>
      <c r="V27" s="6">
        <f>Труд!E27</f>
        <v>0</v>
      </c>
      <c r="W27" s="7">
        <f>Физ.культура!E27</f>
        <v>0</v>
      </c>
      <c r="X27" s="6">
        <f>Физика!E27</f>
        <v>0</v>
      </c>
      <c r="Y27" s="7">
        <f>Фран.язык!E27</f>
        <v>0</v>
      </c>
      <c r="Z27" s="6">
        <f>Химия!E27</f>
        <v>0</v>
      </c>
      <c r="AA27" s="7">
        <f>Экология!E27</f>
        <v>0</v>
      </c>
      <c r="AB27" s="6">
        <f>Экономика!E27</f>
        <v>0</v>
      </c>
    </row>
    <row r="28" spans="1:28" x14ac:dyDescent="0.25">
      <c r="A28" s="5" t="s">
        <v>15</v>
      </c>
      <c r="B28" s="6">
        <f>'Англ. язык'!E28</f>
        <v>2</v>
      </c>
      <c r="C28" s="7">
        <f>Астрономия!E28</f>
        <v>3</v>
      </c>
      <c r="D28" s="6">
        <f>Биология!E28</f>
        <v>3</v>
      </c>
      <c r="E28" s="7">
        <f>География!E28</f>
        <v>3</v>
      </c>
      <c r="F28" s="6">
        <f>ИИ!E28</f>
        <v>3</v>
      </c>
      <c r="G28" s="7">
        <f>Инф.без.!E28</f>
        <v>3</v>
      </c>
      <c r="H28" s="6">
        <f>Искусство!E28</f>
        <v>3</v>
      </c>
      <c r="I28" s="7">
        <f>Исп.язык!E28</f>
        <v>3</v>
      </c>
      <c r="J28" s="6">
        <f>История!E28</f>
        <v>3</v>
      </c>
      <c r="K28" s="7">
        <f>Итал.язык!E28</f>
        <v>3</v>
      </c>
      <c r="L28" s="6">
        <f>Кит.язык!E28</f>
        <v>3</v>
      </c>
      <c r="M28" s="7">
        <f>Литература!E28</f>
        <v>3</v>
      </c>
      <c r="N28" s="6">
        <f>Математика!E28</f>
        <v>3</v>
      </c>
      <c r="O28" s="7">
        <f>Нем.язык!E28</f>
        <v>3</v>
      </c>
      <c r="P28" s="6">
        <f>ОБЗР!E28</f>
        <v>3</v>
      </c>
      <c r="Q28" s="7">
        <f>Обществознание!E28</f>
        <v>4</v>
      </c>
      <c r="R28" s="6">
        <f>Право!E28</f>
        <v>3</v>
      </c>
      <c r="S28" s="7">
        <f>Программирование!E28</f>
        <v>4</v>
      </c>
      <c r="T28" s="6">
        <f>Робототехника!E28</f>
        <v>3</v>
      </c>
      <c r="U28" s="7">
        <f>'Русский язык'!E28</f>
        <v>4</v>
      </c>
      <c r="V28" s="6">
        <f>Труд!E28</f>
        <v>3</v>
      </c>
      <c r="W28" s="7">
        <f>Физ.культура!E28</f>
        <v>2</v>
      </c>
      <c r="X28" s="6">
        <f>Физика!E28</f>
        <v>3</v>
      </c>
      <c r="Y28" s="7">
        <f>Фран.язык!E28</f>
        <v>2</v>
      </c>
      <c r="Z28" s="6">
        <f>Химия!E28</f>
        <v>2</v>
      </c>
      <c r="AA28" s="7">
        <f>Экология!E28</f>
        <v>2</v>
      </c>
      <c r="AB28" s="6">
        <f>Экономика!E28</f>
        <v>1</v>
      </c>
    </row>
    <row r="29" spans="1:28" x14ac:dyDescent="0.25">
      <c r="A29" s="5" t="s">
        <v>37</v>
      </c>
      <c r="B29" s="6">
        <f>'Англ. язык'!E29</f>
        <v>0</v>
      </c>
      <c r="C29" s="7">
        <f>Астрономия!E29</f>
        <v>0</v>
      </c>
      <c r="D29" s="6">
        <f>Биология!E29</f>
        <v>0</v>
      </c>
      <c r="E29" s="7">
        <f>География!E29</f>
        <v>0</v>
      </c>
      <c r="F29" s="6">
        <f>ИИ!E29</f>
        <v>0</v>
      </c>
      <c r="G29" s="7">
        <f>Инф.без.!E29</f>
        <v>0</v>
      </c>
      <c r="H29" s="6">
        <f>Искусство!E29</f>
        <v>0</v>
      </c>
      <c r="I29" s="7">
        <f>Исп.язык!E29</f>
        <v>0</v>
      </c>
      <c r="J29" s="6">
        <f>История!E29</f>
        <v>0</v>
      </c>
      <c r="K29" s="7">
        <f>Итал.язык!E29</f>
        <v>0</v>
      </c>
      <c r="L29" s="6">
        <f>Кит.язык!E29</f>
        <v>0</v>
      </c>
      <c r="M29" s="7">
        <f>Литература!E29</f>
        <v>0</v>
      </c>
      <c r="N29" s="6">
        <f>Математика!E29</f>
        <v>0</v>
      </c>
      <c r="O29" s="7">
        <f>Нем.язык!E29</f>
        <v>0</v>
      </c>
      <c r="P29" s="6">
        <f>ОБЗР!E29</f>
        <v>0</v>
      </c>
      <c r="Q29" s="7">
        <f>Обществознание!E29</f>
        <v>0</v>
      </c>
      <c r="R29" s="6">
        <f>Право!E29</f>
        <v>0</v>
      </c>
      <c r="S29" s="7">
        <f>Программирование!E29</f>
        <v>0</v>
      </c>
      <c r="T29" s="6">
        <f>Робототехника!E29</f>
        <v>0</v>
      </c>
      <c r="U29" s="7">
        <f>'Русский язык'!E29</f>
        <v>0</v>
      </c>
      <c r="V29" s="6">
        <f>Труд!E29</f>
        <v>0</v>
      </c>
      <c r="W29" s="7">
        <f>Физ.культура!E29</f>
        <v>0</v>
      </c>
      <c r="X29" s="6">
        <f>Физика!E29</f>
        <v>0</v>
      </c>
      <c r="Y29" s="7">
        <f>Фран.язык!E29</f>
        <v>0</v>
      </c>
      <c r="Z29" s="6">
        <f>Химия!E29</f>
        <v>0</v>
      </c>
      <c r="AA29" s="7">
        <f>Экология!E29</f>
        <v>0</v>
      </c>
      <c r="AB29" s="6">
        <f>Экономика!E29</f>
        <v>0</v>
      </c>
    </row>
    <row r="30" spans="1:28" x14ac:dyDescent="0.25">
      <c r="A30" s="5" t="s">
        <v>38</v>
      </c>
      <c r="B30" s="6">
        <f>'Англ. язык'!E30</f>
        <v>0</v>
      </c>
      <c r="C30" s="7">
        <f>Астрономия!E30</f>
        <v>0</v>
      </c>
      <c r="D30" s="6">
        <f>Биология!E30</f>
        <v>0</v>
      </c>
      <c r="E30" s="7">
        <f>География!E30</f>
        <v>0</v>
      </c>
      <c r="F30" s="6">
        <f>ИИ!E30</f>
        <v>0</v>
      </c>
      <c r="G30" s="7">
        <f>Инф.без.!E30</f>
        <v>0</v>
      </c>
      <c r="H30" s="6">
        <f>Искусство!E30</f>
        <v>0</v>
      </c>
      <c r="I30" s="7">
        <f>Исп.язык!E30</f>
        <v>0</v>
      </c>
      <c r="J30" s="6">
        <f>История!E30</f>
        <v>0</v>
      </c>
      <c r="K30" s="7">
        <f>Итал.язык!E30</f>
        <v>0</v>
      </c>
      <c r="L30" s="6">
        <f>Кит.язык!E30</f>
        <v>0</v>
      </c>
      <c r="M30" s="7">
        <f>Литература!E30</f>
        <v>0</v>
      </c>
      <c r="N30" s="6">
        <f>Математика!E30</f>
        <v>0</v>
      </c>
      <c r="O30" s="7">
        <f>Нем.язык!E30</f>
        <v>0</v>
      </c>
      <c r="P30" s="6">
        <f>ОБЗР!E30</f>
        <v>0</v>
      </c>
      <c r="Q30" s="7">
        <f>Обществознание!E30</f>
        <v>0</v>
      </c>
      <c r="R30" s="6">
        <f>Право!E30</f>
        <v>0</v>
      </c>
      <c r="S30" s="7">
        <f>Программирование!E30</f>
        <v>0</v>
      </c>
      <c r="T30" s="6">
        <f>Робототехника!E30</f>
        <v>0</v>
      </c>
      <c r="U30" s="7">
        <f>'Русский язык'!E30</f>
        <v>0</v>
      </c>
      <c r="V30" s="6">
        <f>Труд!E30</f>
        <v>0</v>
      </c>
      <c r="W30" s="7">
        <f>Физ.культура!E30</f>
        <v>0</v>
      </c>
      <c r="X30" s="6">
        <f>Физика!E30</f>
        <v>0</v>
      </c>
      <c r="Y30" s="7">
        <f>Фран.язык!E30</f>
        <v>0</v>
      </c>
      <c r="Z30" s="6">
        <f>Химия!E30</f>
        <v>0</v>
      </c>
      <c r="AA30" s="7">
        <f>Экология!E30</f>
        <v>0</v>
      </c>
      <c r="AB30" s="6">
        <f>Экономика!E30</f>
        <v>0</v>
      </c>
    </row>
    <row r="31" spans="1:28" x14ac:dyDescent="0.25">
      <c r="A31" s="5" t="s">
        <v>39</v>
      </c>
      <c r="B31" s="6">
        <f>'Англ. язык'!E31</f>
        <v>0</v>
      </c>
      <c r="C31" s="7">
        <f>Астрономия!E31</f>
        <v>0</v>
      </c>
      <c r="D31" s="6">
        <f>Биология!E31</f>
        <v>0</v>
      </c>
      <c r="E31" s="7">
        <f>География!E31</f>
        <v>0</v>
      </c>
      <c r="F31" s="6">
        <f>ИИ!E31</f>
        <v>0</v>
      </c>
      <c r="G31" s="7">
        <f>Инф.без.!E31</f>
        <v>0</v>
      </c>
      <c r="H31" s="6">
        <f>Искусство!E31</f>
        <v>0</v>
      </c>
      <c r="I31" s="7">
        <f>Исп.язык!E31</f>
        <v>0</v>
      </c>
      <c r="J31" s="6">
        <f>История!E31</f>
        <v>0</v>
      </c>
      <c r="K31" s="7">
        <f>Итал.язык!E31</f>
        <v>0</v>
      </c>
      <c r="L31" s="6">
        <f>Кит.язык!E31</f>
        <v>0</v>
      </c>
      <c r="M31" s="7">
        <f>Литература!E31</f>
        <v>0</v>
      </c>
      <c r="N31" s="6">
        <f>Математика!E31</f>
        <v>0</v>
      </c>
      <c r="O31" s="7">
        <f>Нем.язык!E31</f>
        <v>0</v>
      </c>
      <c r="P31" s="6">
        <f>ОБЗР!E31</f>
        <v>0</v>
      </c>
      <c r="Q31" s="7">
        <f>Обществознание!E31</f>
        <v>0</v>
      </c>
      <c r="R31" s="6">
        <f>Право!E31</f>
        <v>0</v>
      </c>
      <c r="S31" s="7">
        <f>Программирование!E31</f>
        <v>0</v>
      </c>
      <c r="T31" s="6">
        <f>Робототехника!E31</f>
        <v>0</v>
      </c>
      <c r="U31" s="7">
        <f>'Русский язык'!E31</f>
        <v>0</v>
      </c>
      <c r="V31" s="6">
        <f>Труд!E31</f>
        <v>0</v>
      </c>
      <c r="W31" s="7">
        <f>Физ.культура!E31</f>
        <v>0</v>
      </c>
      <c r="X31" s="6">
        <f>Физика!E31</f>
        <v>0</v>
      </c>
      <c r="Y31" s="7">
        <f>Фран.язык!E31</f>
        <v>0</v>
      </c>
      <c r="Z31" s="6">
        <f>Химия!E31</f>
        <v>0</v>
      </c>
      <c r="AA31" s="7">
        <f>Экология!E31</f>
        <v>0</v>
      </c>
      <c r="AB31" s="6">
        <f>Экономика!E31</f>
        <v>0</v>
      </c>
    </row>
    <row r="32" spans="1:28" x14ac:dyDescent="0.25">
      <c r="A32" s="2" t="s">
        <v>153</v>
      </c>
      <c r="B32" s="8">
        <f t="shared" ref="B32:AB32" si="0">SUM(B1:B31)</f>
        <v>7</v>
      </c>
      <c r="C32" s="2">
        <f t="shared" si="0"/>
        <v>7</v>
      </c>
      <c r="D32" s="8">
        <f t="shared" si="0"/>
        <v>8</v>
      </c>
      <c r="E32" s="2">
        <f t="shared" si="0"/>
        <v>8</v>
      </c>
      <c r="F32" s="8">
        <f t="shared" si="0"/>
        <v>8</v>
      </c>
      <c r="G32" s="2">
        <f t="shared" si="0"/>
        <v>8</v>
      </c>
      <c r="H32" s="8">
        <f t="shared" si="0"/>
        <v>7</v>
      </c>
      <c r="I32" s="2">
        <f t="shared" si="0"/>
        <v>6</v>
      </c>
      <c r="J32" s="8">
        <f t="shared" si="0"/>
        <v>5</v>
      </c>
      <c r="K32" s="2">
        <f t="shared" si="0"/>
        <v>6</v>
      </c>
      <c r="L32" s="8">
        <f t="shared" si="0"/>
        <v>5</v>
      </c>
      <c r="M32" s="2">
        <f t="shared" si="0"/>
        <v>5</v>
      </c>
      <c r="N32" s="8">
        <f t="shared" si="0"/>
        <v>27</v>
      </c>
      <c r="O32" s="2">
        <f t="shared" si="0"/>
        <v>6</v>
      </c>
      <c r="P32" s="8">
        <f t="shared" si="0"/>
        <v>5</v>
      </c>
      <c r="Q32" s="2">
        <f t="shared" si="0"/>
        <v>6</v>
      </c>
      <c r="R32" s="8">
        <f t="shared" si="0"/>
        <v>5</v>
      </c>
      <c r="S32" s="2">
        <f t="shared" si="0"/>
        <v>6</v>
      </c>
      <c r="T32" s="8">
        <f t="shared" si="0"/>
        <v>5</v>
      </c>
      <c r="U32" s="2">
        <f t="shared" si="0"/>
        <v>24</v>
      </c>
      <c r="V32" s="8">
        <f t="shared" si="0"/>
        <v>5</v>
      </c>
      <c r="W32" s="2">
        <f t="shared" si="0"/>
        <v>4</v>
      </c>
      <c r="X32" s="8">
        <f t="shared" si="0"/>
        <v>5</v>
      </c>
      <c r="Y32" s="2">
        <f t="shared" si="0"/>
        <v>4</v>
      </c>
      <c r="Z32" s="8">
        <f t="shared" si="0"/>
        <v>4</v>
      </c>
      <c r="AA32" s="2">
        <f t="shared" si="0"/>
        <v>4</v>
      </c>
      <c r="AB32" s="8">
        <f t="shared" si="0"/>
        <v>3</v>
      </c>
    </row>
    <row r="33" spans="1:28" x14ac:dyDescent="0.25">
      <c r="A33" s="2" t="s">
        <v>154</v>
      </c>
      <c r="B33" s="9">
        <f t="shared" ref="B33:AB33" si="1">SUM(B1:B31)/19603</f>
        <v>3.5708820078559402E-4</v>
      </c>
      <c r="C33" s="10">
        <f t="shared" si="1"/>
        <v>3.5708820078559402E-4</v>
      </c>
      <c r="D33" s="9">
        <f t="shared" si="1"/>
        <v>4.0810080089782175E-4</v>
      </c>
      <c r="E33" s="10">
        <f t="shared" si="1"/>
        <v>4.0810080089782175E-4</v>
      </c>
      <c r="F33" s="9">
        <f t="shared" si="1"/>
        <v>4.0810080089782175E-4</v>
      </c>
      <c r="G33" s="10">
        <f t="shared" si="1"/>
        <v>4.0810080089782175E-4</v>
      </c>
      <c r="H33" s="9">
        <f t="shared" si="1"/>
        <v>3.5708820078559402E-4</v>
      </c>
      <c r="I33" s="10">
        <f t="shared" si="1"/>
        <v>3.060756006733663E-4</v>
      </c>
      <c r="J33" s="9">
        <f t="shared" si="1"/>
        <v>2.5506300056113863E-4</v>
      </c>
      <c r="K33" s="10">
        <f t="shared" si="1"/>
        <v>3.060756006733663E-4</v>
      </c>
      <c r="L33" s="9">
        <f t="shared" si="1"/>
        <v>2.5506300056113863E-4</v>
      </c>
      <c r="M33" s="10">
        <f t="shared" si="1"/>
        <v>2.5506300056113863E-4</v>
      </c>
      <c r="N33" s="9">
        <f t="shared" si="1"/>
        <v>1.3773402030301484E-3</v>
      </c>
      <c r="O33" s="10">
        <f t="shared" si="1"/>
        <v>3.060756006733663E-4</v>
      </c>
      <c r="P33" s="9">
        <f t="shared" si="1"/>
        <v>2.5506300056113863E-4</v>
      </c>
      <c r="Q33" s="10">
        <f t="shared" si="1"/>
        <v>3.060756006733663E-4</v>
      </c>
      <c r="R33" s="9">
        <f t="shared" si="1"/>
        <v>2.5506300056113863E-4</v>
      </c>
      <c r="S33" s="10">
        <f t="shared" si="1"/>
        <v>3.060756006733663E-4</v>
      </c>
      <c r="T33" s="9">
        <f t="shared" si="1"/>
        <v>2.5506300056113863E-4</v>
      </c>
      <c r="U33" s="10">
        <f t="shared" si="1"/>
        <v>1.2243024026934652E-3</v>
      </c>
      <c r="V33" s="9">
        <f t="shared" si="1"/>
        <v>2.5506300056113863E-4</v>
      </c>
      <c r="W33" s="10">
        <f t="shared" si="1"/>
        <v>2.0405040044891087E-4</v>
      </c>
      <c r="X33" s="9">
        <f t="shared" si="1"/>
        <v>2.5506300056113863E-4</v>
      </c>
      <c r="Y33" s="10">
        <f t="shared" si="1"/>
        <v>2.0405040044891087E-4</v>
      </c>
      <c r="Z33" s="9">
        <f t="shared" si="1"/>
        <v>2.0405040044891087E-4</v>
      </c>
      <c r="AA33" s="10">
        <f t="shared" si="1"/>
        <v>2.0405040044891087E-4</v>
      </c>
      <c r="AB33" s="9">
        <f t="shared" si="1"/>
        <v>1.5303780033668315E-4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Англ. язык</vt:lpstr>
      <vt:lpstr>Астрономия</vt:lpstr>
      <vt:lpstr>Биология</vt:lpstr>
      <vt:lpstr>География</vt:lpstr>
      <vt:lpstr>ИИ</vt:lpstr>
      <vt:lpstr>Инф.без.</vt:lpstr>
      <vt:lpstr>Искусство</vt:lpstr>
      <vt:lpstr>Исп.язык</vt:lpstr>
      <vt:lpstr>История</vt:lpstr>
      <vt:lpstr>Итал.язык</vt:lpstr>
      <vt:lpstr>Кит.язык</vt:lpstr>
      <vt:lpstr>Литература</vt:lpstr>
      <vt:lpstr>Математика</vt:lpstr>
      <vt:lpstr>Нем.язык</vt:lpstr>
      <vt:lpstr>ОБЗР</vt:lpstr>
      <vt:lpstr>Обществознание</vt:lpstr>
      <vt:lpstr>Право</vt:lpstr>
      <vt:lpstr>Программирование</vt:lpstr>
      <vt:lpstr>Робототехника</vt:lpstr>
      <vt:lpstr>Русский язык</vt:lpstr>
      <vt:lpstr>Труд</vt:lpstr>
      <vt:lpstr>Физ.культура</vt:lpstr>
      <vt:lpstr>Физика</vt:lpstr>
      <vt:lpstr>Фран.язык</vt:lpstr>
      <vt:lpstr>Химия</vt:lpstr>
      <vt:lpstr>Экология</vt:lpstr>
      <vt:lpstr>Экономика</vt:lpstr>
      <vt:lpstr>Статистика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</cp:lastModifiedBy>
  <dcterms:created xsi:type="dcterms:W3CDTF">2026-01-08T09:10:30Z</dcterms:created>
  <dcterms:modified xsi:type="dcterms:W3CDTF">2026-01-08T09:11:23Z</dcterms:modified>
</cp:coreProperties>
</file>