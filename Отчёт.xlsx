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6" autoFilterDateGrouping="1"/>
  </bookViews>
  <sheets>
    <sheet xmlns:r="http://schemas.openxmlformats.org/officeDocument/2006/relationships" name="Англ. язык" sheetId="1" state="visible" r:id="rId1"/>
    <sheet xmlns:r="http://schemas.openxmlformats.org/officeDocument/2006/relationships" name="Астрономия" sheetId="2" state="visible" r:id="rId2"/>
    <sheet xmlns:r="http://schemas.openxmlformats.org/officeDocument/2006/relationships" name="Биология" sheetId="3" state="visible" r:id="rId3"/>
    <sheet xmlns:r="http://schemas.openxmlformats.org/officeDocument/2006/relationships" name="География" sheetId="4" state="visible" r:id="rId4"/>
    <sheet xmlns:r="http://schemas.openxmlformats.org/officeDocument/2006/relationships" name="ИИ" sheetId="5" state="visible" r:id="rId5"/>
    <sheet xmlns:r="http://schemas.openxmlformats.org/officeDocument/2006/relationships" name="Инф.без." sheetId="6" state="visible" r:id="rId6"/>
    <sheet xmlns:r="http://schemas.openxmlformats.org/officeDocument/2006/relationships" name="Искусство" sheetId="7" state="visible" r:id="rId7"/>
    <sheet xmlns:r="http://schemas.openxmlformats.org/officeDocument/2006/relationships" name="Исп.язык" sheetId="8" state="visible" r:id="rId8"/>
    <sheet xmlns:r="http://schemas.openxmlformats.org/officeDocument/2006/relationships" name="История" sheetId="9" state="visible" r:id="rId9"/>
    <sheet xmlns:r="http://schemas.openxmlformats.org/officeDocument/2006/relationships" name="Итал.язык" sheetId="10" state="visible" r:id="rId10"/>
    <sheet xmlns:r="http://schemas.openxmlformats.org/officeDocument/2006/relationships" name="Кит.язык" sheetId="11" state="visible" r:id="rId11"/>
    <sheet xmlns:r="http://schemas.openxmlformats.org/officeDocument/2006/relationships" name="Литература" sheetId="12" state="visible" r:id="rId12"/>
    <sheet xmlns:r="http://schemas.openxmlformats.org/officeDocument/2006/relationships" name="Математика" sheetId="13" state="visible" r:id="rId13"/>
    <sheet xmlns:r="http://schemas.openxmlformats.org/officeDocument/2006/relationships" name="Нем.язык" sheetId="14" state="visible" r:id="rId14"/>
    <sheet xmlns:r="http://schemas.openxmlformats.org/officeDocument/2006/relationships" name="ОБЗР" sheetId="15" state="visible" r:id="rId15"/>
    <sheet xmlns:r="http://schemas.openxmlformats.org/officeDocument/2006/relationships" name="Обществознание" sheetId="16" state="visible" r:id="rId16"/>
    <sheet xmlns:r="http://schemas.openxmlformats.org/officeDocument/2006/relationships" name="Право" sheetId="17" state="visible" r:id="rId17"/>
    <sheet xmlns:r="http://schemas.openxmlformats.org/officeDocument/2006/relationships" name="Программирование" sheetId="18" state="visible" r:id="rId18"/>
    <sheet xmlns:r="http://schemas.openxmlformats.org/officeDocument/2006/relationships" name="Робототехника" sheetId="19" state="visible" r:id="rId19"/>
    <sheet xmlns:r="http://schemas.openxmlformats.org/officeDocument/2006/relationships" name="Русский язык" sheetId="20" state="visible" r:id="rId20"/>
    <sheet xmlns:r="http://schemas.openxmlformats.org/officeDocument/2006/relationships" name="Труд" sheetId="21" state="visible" r:id="rId21"/>
    <sheet xmlns:r="http://schemas.openxmlformats.org/officeDocument/2006/relationships" name="Физ.культура" sheetId="22" state="visible" r:id="rId22"/>
    <sheet xmlns:r="http://schemas.openxmlformats.org/officeDocument/2006/relationships" name="Физика" sheetId="23" state="visible" r:id="rId23"/>
    <sheet xmlns:r="http://schemas.openxmlformats.org/officeDocument/2006/relationships" name="Фран.язык" sheetId="24" state="visible" r:id="rId24"/>
    <sheet xmlns:r="http://schemas.openxmlformats.org/officeDocument/2006/relationships" name="Химия" sheetId="25" state="visible" r:id="rId25"/>
    <sheet xmlns:r="http://schemas.openxmlformats.org/officeDocument/2006/relationships" name="Экология" sheetId="26" state="visible" r:id="rId26"/>
    <sheet xmlns:r="http://schemas.openxmlformats.org/officeDocument/2006/relationships" name="Экономика" sheetId="27" state="visible" r:id="rId27"/>
    <sheet xmlns:r="http://schemas.openxmlformats.org/officeDocument/2006/relationships" name="Статистика" sheetId="28" state="visible" r:id="rId2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3F3F3"/>
        <bgColor rgb="00F3F3F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textRotation="90"/>
    </xf>
    <xf numFmtId="0" fontId="1" fillId="0" borderId="1" applyAlignment="1" pivotButton="0" quotePrefix="0" xfId="0">
      <alignment horizontal="center" textRotation="90"/>
    </xf>
    <xf numFmtId="0" fontId="0" fillId="0" borderId="1" applyAlignment="1" pivotButton="0" quotePrefix="0" xfId="0">
      <alignment horizontal="center"/>
    </xf>
    <xf numFmtId="0" fontId="0" fillId="2" borderId="1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164" fontId="0" fillId="2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50" customWidth="1" min="2" max="2"/>
  </cols>
  <sheetData>
    <row r="1">
      <c r="A1" s="1" t="inlineStr">
        <is>
          <t>Класс</t>
        </is>
      </c>
      <c r="B1" s="1" t="inlineStr">
        <is>
          <t>Ученик</t>
        </is>
      </c>
      <c r="D1" s="1" t="inlineStr">
        <is>
          <t>Класс</t>
        </is>
      </c>
      <c r="E1" s="1" t="inlineStr">
        <is>
          <t>Кол-во</t>
        </is>
      </c>
    </row>
    <row r="2">
      <c r="A2" t="inlineStr">
        <is>
          <t>10 А</t>
        </is>
      </c>
      <c r="B2" t="inlineStr">
        <is>
          <t>Аброськина Риана Александровна</t>
        </is>
      </c>
      <c r="D2" t="inlineStr">
        <is>
          <t>4 А</t>
        </is>
      </c>
      <c r="E2">
        <f>COUNTIF(A:A, "4 А")</f>
        <v/>
      </c>
    </row>
    <row r="3">
      <c r="D3" t="inlineStr">
        <is>
          <t>4 Б</t>
        </is>
      </c>
      <c r="E3">
        <f>COUNTIF(A:A, "4 Б")</f>
        <v/>
      </c>
    </row>
    <row r="4">
      <c r="D4" t="inlineStr">
        <is>
          <t>4 В</t>
        </is>
      </c>
      <c r="E4">
        <f>COUNTIF(A:A, "4 В")</f>
        <v/>
      </c>
    </row>
    <row r="5">
      <c r="D5" t="inlineStr">
        <is>
          <t>4 Г</t>
        </is>
      </c>
      <c r="E5">
        <f>COUNTIF(A:A, "4 Г")</f>
        <v/>
      </c>
    </row>
    <row r="6">
      <c r="D6" t="inlineStr">
        <is>
          <t>4 Д</t>
        </is>
      </c>
      <c r="E6">
        <f>COUNTIF(A:A, "4 Д")</f>
        <v/>
      </c>
    </row>
    <row r="7">
      <c r="D7" t="inlineStr">
        <is>
          <t>5 А</t>
        </is>
      </c>
      <c r="E7">
        <f>COUNTIF(A:A, "5 А")</f>
        <v/>
      </c>
    </row>
    <row r="8">
      <c r="D8" t="inlineStr">
        <is>
          <t>5 Б</t>
        </is>
      </c>
      <c r="E8">
        <f>COUNTIF(A:A, "5 Б")</f>
        <v/>
      </c>
    </row>
    <row r="9">
      <c r="D9" t="inlineStr">
        <is>
          <t>5 В</t>
        </is>
      </c>
      <c r="E9">
        <f>COUNTIF(A:A, "5 В")</f>
        <v/>
      </c>
    </row>
    <row r="10">
      <c r="D10" t="inlineStr">
        <is>
          <t>5 Г</t>
        </is>
      </c>
      <c r="E10">
        <f>COUNTIF(A:A, "5 Г")</f>
        <v/>
      </c>
    </row>
    <row r="11">
      <c r="D11" t="inlineStr">
        <is>
          <t>5 Д</t>
        </is>
      </c>
      <c r="E11">
        <f>COUNTIF(A:A, "5 Д")</f>
        <v/>
      </c>
    </row>
    <row r="12">
      <c r="D12" t="inlineStr">
        <is>
          <t>6 А</t>
        </is>
      </c>
      <c r="E12">
        <f>COUNTIF(A:A, "6 А")</f>
        <v/>
      </c>
    </row>
    <row r="13">
      <c r="D13" t="inlineStr">
        <is>
          <t>6 Б</t>
        </is>
      </c>
      <c r="E13">
        <f>COUNTIF(A:A, "6 Б")</f>
        <v/>
      </c>
    </row>
    <row r="14">
      <c r="D14" t="inlineStr">
        <is>
          <t>6 В</t>
        </is>
      </c>
      <c r="E14">
        <f>COUNTIF(A:A, "6 В")</f>
        <v/>
      </c>
    </row>
    <row r="15">
      <c r="D15" t="inlineStr">
        <is>
          <t>6 Г</t>
        </is>
      </c>
      <c r="E15">
        <f>COUNTIF(A:A, "6 Г")</f>
        <v/>
      </c>
    </row>
    <row r="16">
      <c r="D16" t="inlineStr">
        <is>
          <t>6 Д</t>
        </is>
      </c>
      <c r="E16">
        <f>COUNTIF(A:A, "6 Д")</f>
        <v/>
      </c>
    </row>
    <row r="17">
      <c r="D17" t="inlineStr">
        <is>
          <t>7 А</t>
        </is>
      </c>
      <c r="E17">
        <f>COUNTIF(A:A, "7 А")</f>
        <v/>
      </c>
    </row>
    <row r="18">
      <c r="D18" t="inlineStr">
        <is>
          <t>7 Б</t>
        </is>
      </c>
      <c r="E18">
        <f>COUNTIF(A:A, "7 Б")</f>
        <v/>
      </c>
    </row>
    <row r="19">
      <c r="D19" t="inlineStr">
        <is>
          <t>7 В</t>
        </is>
      </c>
      <c r="E19">
        <f>COUNTIF(A:A, "7 В")</f>
        <v/>
      </c>
    </row>
    <row r="20">
      <c r="D20" t="inlineStr">
        <is>
          <t>7 Г</t>
        </is>
      </c>
      <c r="E20">
        <f>COUNTIF(A:A, "7 Г")</f>
        <v/>
      </c>
    </row>
    <row r="21">
      <c r="D21" t="inlineStr">
        <is>
          <t>8 А</t>
        </is>
      </c>
      <c r="E21">
        <f>COUNTIF(A:A, "8 А")</f>
        <v/>
      </c>
    </row>
    <row r="22">
      <c r="D22" t="inlineStr">
        <is>
          <t>8 Б</t>
        </is>
      </c>
      <c r="E22">
        <f>COUNTIF(A:A, "8 Б")</f>
        <v/>
      </c>
    </row>
    <row r="23">
      <c r="D23" t="inlineStr">
        <is>
          <t>8 В</t>
        </is>
      </c>
      <c r="E23">
        <f>COUNTIF(A:A, "8 В")</f>
        <v/>
      </c>
    </row>
    <row r="24">
      <c r="D24" t="inlineStr">
        <is>
          <t>9 А</t>
        </is>
      </c>
      <c r="E24">
        <f>COUNTIF(A:A, "9 А")</f>
        <v/>
      </c>
    </row>
    <row r="25">
      <c r="D25" t="inlineStr">
        <is>
          <t>9 Б</t>
        </is>
      </c>
      <c r="E25">
        <f>COUNTIF(A:A, "9 Б")</f>
        <v/>
      </c>
    </row>
    <row r="26">
      <c r="D26" t="inlineStr">
        <is>
          <t>9 В</t>
        </is>
      </c>
      <c r="E26">
        <f>COUNTIF(A:A, "9 В")</f>
        <v/>
      </c>
    </row>
    <row r="27">
      <c r="D27" t="inlineStr">
        <is>
          <t>9 Г</t>
        </is>
      </c>
      <c r="E27">
        <f>COUNTIF(A:A, "9 Г")</f>
        <v/>
      </c>
    </row>
    <row r="28">
      <c r="D28" t="inlineStr">
        <is>
          <t>10 А</t>
        </is>
      </c>
      <c r="E28">
        <f>COUNTIF(A:A, "10 А")</f>
        <v/>
      </c>
    </row>
    <row r="29">
      <c r="D29" t="inlineStr">
        <is>
          <t>10 Б</t>
        </is>
      </c>
      <c r="E29">
        <f>COUNTIF(A:A, "10 Б")</f>
        <v/>
      </c>
    </row>
    <row r="30">
      <c r="D30" t="inlineStr">
        <is>
          <t>11 А</t>
        </is>
      </c>
      <c r="E30">
        <f>COUNTIF(A:A, "11 А")</f>
        <v/>
      </c>
    </row>
    <row r="31">
      <c r="D31" t="inlineStr">
        <is>
          <t>11 Б</t>
        </is>
      </c>
      <c r="E31">
        <f>COUNTIF(A:A, "11 Б")</f>
        <v/>
      </c>
    </row>
    <row r="32">
      <c r="D32" s="1" t="inlineStr">
        <is>
          <t xml:space="preserve">Всего: </t>
        </is>
      </c>
      <c r="E32">
        <f>SUM(E2:E31)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50" customWidth="1" min="2" max="2"/>
  </cols>
  <sheetData>
    <row r="1">
      <c r="A1" s="1" t="inlineStr">
        <is>
          <t>Класс</t>
        </is>
      </c>
      <c r="B1" s="1" t="inlineStr">
        <is>
          <t>Ученик</t>
        </is>
      </c>
      <c r="D1" s="1" t="inlineStr">
        <is>
          <t>Класс</t>
        </is>
      </c>
      <c r="E1" s="1" t="inlineStr">
        <is>
          <t>Кол-во</t>
        </is>
      </c>
    </row>
    <row r="2">
      <c r="A2" t="inlineStr">
        <is>
          <t>10 А</t>
        </is>
      </c>
      <c r="B2" t="inlineStr">
        <is>
          <t>Анисимова София Александровна</t>
        </is>
      </c>
      <c r="D2" t="inlineStr">
        <is>
          <t>4 А</t>
        </is>
      </c>
      <c r="E2">
        <f>COUNTIF(A:A, "4 А")</f>
        <v/>
      </c>
    </row>
    <row r="3">
      <c r="D3" t="inlineStr">
        <is>
          <t>4 Б</t>
        </is>
      </c>
      <c r="E3">
        <f>COUNTIF(A:A, "4 Б")</f>
        <v/>
      </c>
    </row>
    <row r="4">
      <c r="D4" t="inlineStr">
        <is>
          <t>4 В</t>
        </is>
      </c>
      <c r="E4">
        <f>COUNTIF(A:A, "4 В")</f>
        <v/>
      </c>
    </row>
    <row r="5">
      <c r="D5" t="inlineStr">
        <is>
          <t>4 Г</t>
        </is>
      </c>
      <c r="E5">
        <f>COUNTIF(A:A, "4 Г")</f>
        <v/>
      </c>
    </row>
    <row r="6">
      <c r="D6" t="inlineStr">
        <is>
          <t>4 Д</t>
        </is>
      </c>
      <c r="E6">
        <f>COUNTIF(A:A, "4 Д")</f>
        <v/>
      </c>
    </row>
    <row r="7">
      <c r="D7" t="inlineStr">
        <is>
          <t>5 А</t>
        </is>
      </c>
      <c r="E7">
        <f>COUNTIF(A:A, "5 А")</f>
        <v/>
      </c>
    </row>
    <row r="8">
      <c r="D8" t="inlineStr">
        <is>
          <t>5 Б</t>
        </is>
      </c>
      <c r="E8">
        <f>COUNTIF(A:A, "5 Б")</f>
        <v/>
      </c>
    </row>
    <row r="9">
      <c r="D9" t="inlineStr">
        <is>
          <t>5 В</t>
        </is>
      </c>
      <c r="E9">
        <f>COUNTIF(A:A, "5 В")</f>
        <v/>
      </c>
    </row>
    <row r="10">
      <c r="D10" t="inlineStr">
        <is>
          <t>5 Г</t>
        </is>
      </c>
      <c r="E10">
        <f>COUNTIF(A:A, "5 Г")</f>
        <v/>
      </c>
    </row>
    <row r="11">
      <c r="D11" t="inlineStr">
        <is>
          <t>5 Д</t>
        </is>
      </c>
      <c r="E11">
        <f>COUNTIF(A:A, "5 Д")</f>
        <v/>
      </c>
    </row>
    <row r="12">
      <c r="D12" t="inlineStr">
        <is>
          <t>6 А</t>
        </is>
      </c>
      <c r="E12">
        <f>COUNTIF(A:A, "6 А")</f>
        <v/>
      </c>
    </row>
    <row r="13">
      <c r="D13" t="inlineStr">
        <is>
          <t>6 Б</t>
        </is>
      </c>
      <c r="E13">
        <f>COUNTIF(A:A, "6 Б")</f>
        <v/>
      </c>
    </row>
    <row r="14">
      <c r="D14" t="inlineStr">
        <is>
          <t>6 В</t>
        </is>
      </c>
      <c r="E14">
        <f>COUNTIF(A:A, "6 В")</f>
        <v/>
      </c>
    </row>
    <row r="15">
      <c r="D15" t="inlineStr">
        <is>
          <t>6 Г</t>
        </is>
      </c>
      <c r="E15">
        <f>COUNTIF(A:A, "6 Г")</f>
        <v/>
      </c>
    </row>
    <row r="16">
      <c r="D16" t="inlineStr">
        <is>
          <t>6 Д</t>
        </is>
      </c>
      <c r="E16">
        <f>COUNTIF(A:A, "6 Д")</f>
        <v/>
      </c>
    </row>
    <row r="17">
      <c r="D17" t="inlineStr">
        <is>
          <t>7 А</t>
        </is>
      </c>
      <c r="E17">
        <f>COUNTIF(A:A, "7 А")</f>
        <v/>
      </c>
    </row>
    <row r="18">
      <c r="D18" t="inlineStr">
        <is>
          <t>7 Б</t>
        </is>
      </c>
      <c r="E18">
        <f>COUNTIF(A:A, "7 Б")</f>
        <v/>
      </c>
    </row>
    <row r="19">
      <c r="D19" t="inlineStr">
        <is>
          <t>7 В</t>
        </is>
      </c>
      <c r="E19">
        <f>COUNTIF(A:A, "7 В")</f>
        <v/>
      </c>
    </row>
    <row r="20">
      <c r="D20" t="inlineStr">
        <is>
          <t>7 Г</t>
        </is>
      </c>
      <c r="E20">
        <f>COUNTIF(A:A, "7 Г")</f>
        <v/>
      </c>
    </row>
    <row r="21">
      <c r="D21" t="inlineStr">
        <is>
          <t>8 А</t>
        </is>
      </c>
      <c r="E21">
        <f>COUNTIF(A:A, "8 А")</f>
        <v/>
      </c>
    </row>
    <row r="22">
      <c r="D22" t="inlineStr">
        <is>
          <t>8 Б</t>
        </is>
      </c>
      <c r="E22">
        <f>COUNTIF(A:A, "8 Б")</f>
        <v/>
      </c>
    </row>
    <row r="23">
      <c r="D23" t="inlineStr">
        <is>
          <t>8 В</t>
        </is>
      </c>
      <c r="E23">
        <f>COUNTIF(A:A, "8 В")</f>
        <v/>
      </c>
    </row>
    <row r="24">
      <c r="D24" t="inlineStr">
        <is>
          <t>9 А</t>
        </is>
      </c>
      <c r="E24">
        <f>COUNTIF(A:A, "9 А")</f>
        <v/>
      </c>
    </row>
    <row r="25">
      <c r="D25" t="inlineStr">
        <is>
          <t>9 Б</t>
        </is>
      </c>
      <c r="E25">
        <f>COUNTIF(A:A, "9 Б")</f>
        <v/>
      </c>
    </row>
    <row r="26">
      <c r="D26" t="inlineStr">
        <is>
          <t>9 В</t>
        </is>
      </c>
      <c r="E26">
        <f>COUNTIF(A:A, "9 В")</f>
        <v/>
      </c>
    </row>
    <row r="27">
      <c r="D27" t="inlineStr">
        <is>
          <t>9 Г</t>
        </is>
      </c>
      <c r="E27">
        <f>COUNTIF(A:A, "9 Г")</f>
        <v/>
      </c>
    </row>
    <row r="28">
      <c r="D28" t="inlineStr">
        <is>
          <t>10 А</t>
        </is>
      </c>
      <c r="E28">
        <f>COUNTIF(A:A, "10 А")</f>
        <v/>
      </c>
    </row>
    <row r="29">
      <c r="D29" t="inlineStr">
        <is>
          <t>10 Б</t>
        </is>
      </c>
      <c r="E29">
        <f>COUNTIF(A:A, "10 Б")</f>
        <v/>
      </c>
    </row>
    <row r="30">
      <c r="D30" t="inlineStr">
        <is>
          <t>11 А</t>
        </is>
      </c>
      <c r="E30">
        <f>COUNTIF(A:A, "11 А")</f>
        <v/>
      </c>
    </row>
    <row r="31">
      <c r="D31" t="inlineStr">
        <is>
          <t>11 Б</t>
        </is>
      </c>
      <c r="E31">
        <f>COUNTIF(A:A, "11 Б")</f>
        <v/>
      </c>
    </row>
    <row r="32">
      <c r="D32" s="1" t="inlineStr">
        <is>
          <t xml:space="preserve">Всего: </t>
        </is>
      </c>
      <c r="E32">
        <f>SUM(E2:E31)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50" customWidth="1" min="2" max="2"/>
  </cols>
  <sheetData>
    <row r="1">
      <c r="A1" s="1" t="inlineStr">
        <is>
          <t>Класс</t>
        </is>
      </c>
      <c r="B1" s="1" t="inlineStr">
        <is>
          <t>Ученик</t>
        </is>
      </c>
      <c r="D1" s="1" t="inlineStr">
        <is>
          <t>Класс</t>
        </is>
      </c>
      <c r="E1" s="1" t="inlineStr">
        <is>
          <t>Кол-во</t>
        </is>
      </c>
    </row>
    <row r="2">
      <c r="A2" t="inlineStr">
        <is>
          <t>10 А</t>
        </is>
      </c>
      <c r="B2" t="inlineStr">
        <is>
          <t>Аброськина Риана Александровна</t>
        </is>
      </c>
      <c r="D2" t="inlineStr">
        <is>
          <t>4 А</t>
        </is>
      </c>
      <c r="E2">
        <f>COUNTIF(A:A, "4 А")</f>
        <v/>
      </c>
    </row>
    <row r="3">
      <c r="A3" t="inlineStr">
        <is>
          <t>10 А</t>
        </is>
      </c>
      <c r="B3" t="inlineStr">
        <is>
          <t>Анисимова София Александровна</t>
        </is>
      </c>
      <c r="D3" t="inlineStr">
        <is>
          <t>4 Б</t>
        </is>
      </c>
      <c r="E3">
        <f>COUNTIF(A:A, "4 Б")</f>
        <v/>
      </c>
    </row>
    <row r="4">
      <c r="A4" t="inlineStr">
        <is>
          <t>10 А</t>
        </is>
      </c>
      <c r="B4" t="inlineStr">
        <is>
          <t>Артемов Тимофей Андреевич</t>
        </is>
      </c>
      <c r="D4" t="inlineStr">
        <is>
          <t>4 В</t>
        </is>
      </c>
      <c r="E4">
        <f>COUNTIF(A:A, "4 В")</f>
        <v/>
      </c>
    </row>
    <row r="5">
      <c r="A5" t="inlineStr">
        <is>
          <t>10 А</t>
        </is>
      </c>
      <c r="B5" t="inlineStr">
        <is>
          <t>Кривошапка Евгений Алексеевич</t>
        </is>
      </c>
      <c r="D5" t="inlineStr">
        <is>
          <t>4 Г</t>
        </is>
      </c>
      <c r="E5">
        <f>COUNTIF(A:A, "4 Г")</f>
        <v/>
      </c>
    </row>
    <row r="6">
      <c r="D6" t="inlineStr">
        <is>
          <t>4 Д</t>
        </is>
      </c>
      <c r="E6">
        <f>COUNTIF(A:A, "4 Д")</f>
        <v/>
      </c>
    </row>
    <row r="7">
      <c r="D7" t="inlineStr">
        <is>
          <t>5 А</t>
        </is>
      </c>
      <c r="E7">
        <f>COUNTIF(A:A, "5 А")</f>
        <v/>
      </c>
    </row>
    <row r="8">
      <c r="D8" t="inlineStr">
        <is>
          <t>5 Б</t>
        </is>
      </c>
      <c r="E8">
        <f>COUNTIF(A:A, "5 Б")</f>
        <v/>
      </c>
    </row>
    <row r="9">
      <c r="D9" t="inlineStr">
        <is>
          <t>5 В</t>
        </is>
      </c>
      <c r="E9">
        <f>COUNTIF(A:A, "5 В")</f>
        <v/>
      </c>
    </row>
    <row r="10">
      <c r="D10" t="inlineStr">
        <is>
          <t>5 Г</t>
        </is>
      </c>
      <c r="E10">
        <f>COUNTIF(A:A, "5 Г")</f>
        <v/>
      </c>
    </row>
    <row r="11">
      <c r="D11" t="inlineStr">
        <is>
          <t>5 Д</t>
        </is>
      </c>
      <c r="E11">
        <f>COUNTIF(A:A, "5 Д")</f>
        <v/>
      </c>
    </row>
    <row r="12">
      <c r="D12" t="inlineStr">
        <is>
          <t>6 А</t>
        </is>
      </c>
      <c r="E12">
        <f>COUNTIF(A:A, "6 А")</f>
        <v/>
      </c>
    </row>
    <row r="13">
      <c r="D13" t="inlineStr">
        <is>
          <t>6 Б</t>
        </is>
      </c>
      <c r="E13">
        <f>COUNTIF(A:A, "6 Б")</f>
        <v/>
      </c>
    </row>
    <row r="14">
      <c r="D14" t="inlineStr">
        <is>
          <t>6 В</t>
        </is>
      </c>
      <c r="E14">
        <f>COUNTIF(A:A, "6 В")</f>
        <v/>
      </c>
    </row>
    <row r="15">
      <c r="D15" t="inlineStr">
        <is>
          <t>6 Г</t>
        </is>
      </c>
      <c r="E15">
        <f>COUNTIF(A:A, "6 Г")</f>
        <v/>
      </c>
    </row>
    <row r="16">
      <c r="D16" t="inlineStr">
        <is>
          <t>6 Д</t>
        </is>
      </c>
      <c r="E16">
        <f>COUNTIF(A:A, "6 Д")</f>
        <v/>
      </c>
    </row>
    <row r="17">
      <c r="D17" t="inlineStr">
        <is>
          <t>7 А</t>
        </is>
      </c>
      <c r="E17">
        <f>COUNTIF(A:A, "7 А")</f>
        <v/>
      </c>
    </row>
    <row r="18">
      <c r="D18" t="inlineStr">
        <is>
          <t>7 Б</t>
        </is>
      </c>
      <c r="E18">
        <f>COUNTIF(A:A, "7 Б")</f>
        <v/>
      </c>
    </row>
    <row r="19">
      <c r="D19" t="inlineStr">
        <is>
          <t>7 В</t>
        </is>
      </c>
      <c r="E19">
        <f>COUNTIF(A:A, "7 В")</f>
        <v/>
      </c>
    </row>
    <row r="20">
      <c r="D20" t="inlineStr">
        <is>
          <t>7 Г</t>
        </is>
      </c>
      <c r="E20">
        <f>COUNTIF(A:A, "7 Г")</f>
        <v/>
      </c>
    </row>
    <row r="21">
      <c r="D21" t="inlineStr">
        <is>
          <t>8 А</t>
        </is>
      </c>
      <c r="E21">
        <f>COUNTIF(A:A, "8 А")</f>
        <v/>
      </c>
    </row>
    <row r="22">
      <c r="D22" t="inlineStr">
        <is>
          <t>8 Б</t>
        </is>
      </c>
      <c r="E22">
        <f>COUNTIF(A:A, "8 Б")</f>
        <v/>
      </c>
    </row>
    <row r="23">
      <c r="D23" t="inlineStr">
        <is>
          <t>8 В</t>
        </is>
      </c>
      <c r="E23">
        <f>COUNTIF(A:A, "8 В")</f>
        <v/>
      </c>
    </row>
    <row r="24">
      <c r="D24" t="inlineStr">
        <is>
          <t>9 А</t>
        </is>
      </c>
      <c r="E24">
        <f>COUNTIF(A:A, "9 А")</f>
        <v/>
      </c>
    </row>
    <row r="25">
      <c r="D25" t="inlineStr">
        <is>
          <t>9 Б</t>
        </is>
      </c>
      <c r="E25">
        <f>COUNTIF(A:A, "9 Б")</f>
        <v/>
      </c>
    </row>
    <row r="26">
      <c r="D26" t="inlineStr">
        <is>
          <t>9 В</t>
        </is>
      </c>
      <c r="E26">
        <f>COUNTIF(A:A, "9 В")</f>
        <v/>
      </c>
    </row>
    <row r="27">
      <c r="D27" t="inlineStr">
        <is>
          <t>9 Г</t>
        </is>
      </c>
      <c r="E27">
        <f>COUNTIF(A:A, "9 Г")</f>
        <v/>
      </c>
    </row>
    <row r="28">
      <c r="D28" t="inlineStr">
        <is>
          <t>10 А</t>
        </is>
      </c>
      <c r="E28">
        <f>COUNTIF(A:A, "10 А")</f>
        <v/>
      </c>
    </row>
    <row r="29">
      <c r="D29" t="inlineStr">
        <is>
          <t>10 Б</t>
        </is>
      </c>
      <c r="E29">
        <f>COUNTIF(A:A, "10 Б")</f>
        <v/>
      </c>
    </row>
    <row r="30">
      <c r="D30" t="inlineStr">
        <is>
          <t>11 А</t>
        </is>
      </c>
      <c r="E30">
        <f>COUNTIF(A:A, "11 А")</f>
        <v/>
      </c>
    </row>
    <row r="31">
      <c r="D31" t="inlineStr">
        <is>
          <t>11 Б</t>
        </is>
      </c>
      <c r="E31">
        <f>COUNTIF(A:A, "11 Б")</f>
        <v/>
      </c>
    </row>
    <row r="32">
      <c r="D32" s="1" t="inlineStr">
        <is>
          <t xml:space="preserve">Всего: </t>
        </is>
      </c>
      <c r="E32">
        <f>SUM(E2:E31)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50" customWidth="1" min="2" max="2"/>
  </cols>
  <sheetData>
    <row r="1">
      <c r="A1" s="1" t="inlineStr">
        <is>
          <t>Класс</t>
        </is>
      </c>
      <c r="B1" s="1" t="inlineStr">
        <is>
          <t>Ученик</t>
        </is>
      </c>
      <c r="D1" s="1" t="inlineStr">
        <is>
          <t>Класс</t>
        </is>
      </c>
      <c r="E1" s="1" t="inlineStr">
        <is>
          <t>Кол-во</t>
        </is>
      </c>
    </row>
    <row r="2">
      <c r="A2" t="inlineStr">
        <is>
          <t>10 А</t>
        </is>
      </c>
      <c r="B2" t="inlineStr">
        <is>
          <t>Анисимова София Александровна</t>
        </is>
      </c>
      <c r="D2" t="inlineStr">
        <is>
          <t>4 А</t>
        </is>
      </c>
      <c r="E2">
        <f>COUNTIF(A:A, "4 А")</f>
        <v/>
      </c>
    </row>
    <row r="3">
      <c r="A3" t="inlineStr">
        <is>
          <t>10 А</t>
        </is>
      </c>
      <c r="B3" t="inlineStr">
        <is>
          <t>Воробьёв Артём Константинович</t>
        </is>
      </c>
      <c r="D3" t="inlineStr">
        <is>
          <t>4 Б</t>
        </is>
      </c>
      <c r="E3">
        <f>COUNTIF(A:A, "4 Б")</f>
        <v/>
      </c>
    </row>
    <row r="4">
      <c r="D4" t="inlineStr">
        <is>
          <t>4 В</t>
        </is>
      </c>
      <c r="E4">
        <f>COUNTIF(A:A, "4 В")</f>
        <v/>
      </c>
    </row>
    <row r="5">
      <c r="D5" t="inlineStr">
        <is>
          <t>4 Г</t>
        </is>
      </c>
      <c r="E5">
        <f>COUNTIF(A:A, "4 Г")</f>
        <v/>
      </c>
    </row>
    <row r="6">
      <c r="D6" t="inlineStr">
        <is>
          <t>4 Д</t>
        </is>
      </c>
      <c r="E6">
        <f>COUNTIF(A:A, "4 Д")</f>
        <v/>
      </c>
    </row>
    <row r="7">
      <c r="D7" t="inlineStr">
        <is>
          <t>5 А</t>
        </is>
      </c>
      <c r="E7">
        <f>COUNTIF(A:A, "5 А")</f>
        <v/>
      </c>
    </row>
    <row r="8">
      <c r="D8" t="inlineStr">
        <is>
          <t>5 Б</t>
        </is>
      </c>
      <c r="E8">
        <f>COUNTIF(A:A, "5 Б")</f>
        <v/>
      </c>
    </row>
    <row r="9">
      <c r="D9" t="inlineStr">
        <is>
          <t>5 В</t>
        </is>
      </c>
      <c r="E9">
        <f>COUNTIF(A:A, "5 В")</f>
        <v/>
      </c>
    </row>
    <row r="10">
      <c r="D10" t="inlineStr">
        <is>
          <t>5 Г</t>
        </is>
      </c>
      <c r="E10">
        <f>COUNTIF(A:A, "5 Г")</f>
        <v/>
      </c>
    </row>
    <row r="11">
      <c r="D11" t="inlineStr">
        <is>
          <t>5 Д</t>
        </is>
      </c>
      <c r="E11">
        <f>COUNTIF(A:A, "5 Д")</f>
        <v/>
      </c>
    </row>
    <row r="12">
      <c r="D12" t="inlineStr">
        <is>
          <t>6 А</t>
        </is>
      </c>
      <c r="E12">
        <f>COUNTIF(A:A, "6 А")</f>
        <v/>
      </c>
    </row>
    <row r="13">
      <c r="D13" t="inlineStr">
        <is>
          <t>6 Б</t>
        </is>
      </c>
      <c r="E13">
        <f>COUNTIF(A:A, "6 Б")</f>
        <v/>
      </c>
    </row>
    <row r="14">
      <c r="D14" t="inlineStr">
        <is>
          <t>6 В</t>
        </is>
      </c>
      <c r="E14">
        <f>COUNTIF(A:A, "6 В")</f>
        <v/>
      </c>
    </row>
    <row r="15">
      <c r="D15" t="inlineStr">
        <is>
          <t>6 Г</t>
        </is>
      </c>
      <c r="E15">
        <f>COUNTIF(A:A, "6 Г")</f>
        <v/>
      </c>
    </row>
    <row r="16">
      <c r="D16" t="inlineStr">
        <is>
          <t>6 Д</t>
        </is>
      </c>
      <c r="E16">
        <f>COUNTIF(A:A, "6 Д")</f>
        <v/>
      </c>
    </row>
    <row r="17">
      <c r="D17" t="inlineStr">
        <is>
          <t>7 А</t>
        </is>
      </c>
      <c r="E17">
        <f>COUNTIF(A:A, "7 А")</f>
        <v/>
      </c>
    </row>
    <row r="18">
      <c r="D18" t="inlineStr">
        <is>
          <t>7 Б</t>
        </is>
      </c>
      <c r="E18">
        <f>COUNTIF(A:A, "7 Б")</f>
        <v/>
      </c>
    </row>
    <row r="19">
      <c r="D19" t="inlineStr">
        <is>
          <t>7 В</t>
        </is>
      </c>
      <c r="E19">
        <f>COUNTIF(A:A, "7 В")</f>
        <v/>
      </c>
    </row>
    <row r="20">
      <c r="D20" t="inlineStr">
        <is>
          <t>7 Г</t>
        </is>
      </c>
      <c r="E20">
        <f>COUNTIF(A:A, "7 Г")</f>
        <v/>
      </c>
    </row>
    <row r="21">
      <c r="D21" t="inlineStr">
        <is>
          <t>8 А</t>
        </is>
      </c>
      <c r="E21">
        <f>COUNTIF(A:A, "8 А")</f>
        <v/>
      </c>
    </row>
    <row r="22">
      <c r="D22" t="inlineStr">
        <is>
          <t>8 Б</t>
        </is>
      </c>
      <c r="E22">
        <f>COUNTIF(A:A, "8 Б")</f>
        <v/>
      </c>
    </row>
    <row r="23">
      <c r="D23" t="inlineStr">
        <is>
          <t>8 В</t>
        </is>
      </c>
      <c r="E23">
        <f>COUNTIF(A:A, "8 В")</f>
        <v/>
      </c>
    </row>
    <row r="24">
      <c r="D24" t="inlineStr">
        <is>
          <t>9 А</t>
        </is>
      </c>
      <c r="E24">
        <f>COUNTIF(A:A, "9 А")</f>
        <v/>
      </c>
    </row>
    <row r="25">
      <c r="D25" t="inlineStr">
        <is>
          <t>9 Б</t>
        </is>
      </c>
      <c r="E25">
        <f>COUNTIF(A:A, "9 Б")</f>
        <v/>
      </c>
    </row>
    <row r="26">
      <c r="D26" t="inlineStr">
        <is>
          <t>9 В</t>
        </is>
      </c>
      <c r="E26">
        <f>COUNTIF(A:A, "9 В")</f>
        <v/>
      </c>
    </row>
    <row r="27">
      <c r="D27" t="inlineStr">
        <is>
          <t>9 Г</t>
        </is>
      </c>
      <c r="E27">
        <f>COUNTIF(A:A, "9 Г")</f>
        <v/>
      </c>
    </row>
    <row r="28">
      <c r="D28" t="inlineStr">
        <is>
          <t>10 А</t>
        </is>
      </c>
      <c r="E28">
        <f>COUNTIF(A:A, "10 А")</f>
        <v/>
      </c>
    </row>
    <row r="29">
      <c r="D29" t="inlineStr">
        <is>
          <t>10 Б</t>
        </is>
      </c>
      <c r="E29">
        <f>COUNTIF(A:A, "10 Б")</f>
        <v/>
      </c>
    </row>
    <row r="30">
      <c r="D30" t="inlineStr">
        <is>
          <t>11 А</t>
        </is>
      </c>
      <c r="E30">
        <f>COUNTIF(A:A, "11 А")</f>
        <v/>
      </c>
    </row>
    <row r="31">
      <c r="D31" t="inlineStr">
        <is>
          <t>11 Б</t>
        </is>
      </c>
      <c r="E31">
        <f>COUNTIF(A:A, "11 Б")</f>
        <v/>
      </c>
    </row>
    <row r="32">
      <c r="D32" s="1" t="inlineStr">
        <is>
          <t xml:space="preserve">Всего: </t>
        </is>
      </c>
      <c r="E32">
        <f>SUM(E2:E31)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50" customWidth="1" min="2" max="2"/>
  </cols>
  <sheetData>
    <row r="1">
      <c r="A1" s="1" t="inlineStr">
        <is>
          <t>Класс</t>
        </is>
      </c>
      <c r="B1" s="1" t="inlineStr">
        <is>
          <t>Ученик</t>
        </is>
      </c>
      <c r="D1" s="1" t="inlineStr">
        <is>
          <t>Класс</t>
        </is>
      </c>
      <c r="E1" s="1" t="inlineStr">
        <is>
          <t>Кол-во</t>
        </is>
      </c>
    </row>
    <row r="2">
      <c r="A2" t="inlineStr">
        <is>
          <t>10 А</t>
        </is>
      </c>
      <c r="B2" t="inlineStr">
        <is>
          <t>Артемов Тимофей Андреевич</t>
        </is>
      </c>
      <c r="D2" t="inlineStr">
        <is>
          <t>4 А</t>
        </is>
      </c>
      <c r="E2">
        <f>COUNTIF(A:A, "4 А")</f>
        <v/>
      </c>
    </row>
    <row r="3">
      <c r="A3" t="inlineStr">
        <is>
          <t>10 А</t>
        </is>
      </c>
      <c r="B3" t="inlineStr">
        <is>
          <t>Головченко Константин Сергеевич</t>
        </is>
      </c>
      <c r="D3" t="inlineStr">
        <is>
          <t>4 Б</t>
        </is>
      </c>
      <c r="E3">
        <f>COUNTIF(A:A, "4 Б")</f>
        <v/>
      </c>
    </row>
    <row r="4">
      <c r="A4" t="inlineStr">
        <is>
          <t>10 А</t>
        </is>
      </c>
      <c r="B4" t="inlineStr">
        <is>
          <t>Иванова Арина Сергеевна</t>
        </is>
      </c>
      <c r="D4" t="inlineStr">
        <is>
          <t>4 В</t>
        </is>
      </c>
      <c r="E4">
        <f>COUNTIF(A:A, "4 В")</f>
        <v/>
      </c>
    </row>
    <row r="5">
      <c r="D5" t="inlineStr">
        <is>
          <t>4 Г</t>
        </is>
      </c>
      <c r="E5">
        <f>COUNTIF(A:A, "4 Г")</f>
        <v/>
      </c>
    </row>
    <row r="6">
      <c r="D6" t="inlineStr">
        <is>
          <t>4 Д</t>
        </is>
      </c>
      <c r="E6">
        <f>COUNTIF(A:A, "4 Д")</f>
        <v/>
      </c>
    </row>
    <row r="7">
      <c r="D7" t="inlineStr">
        <is>
          <t>5 А</t>
        </is>
      </c>
      <c r="E7">
        <f>COUNTIF(A:A, "5 А")</f>
        <v/>
      </c>
    </row>
    <row r="8">
      <c r="D8" t="inlineStr">
        <is>
          <t>5 Б</t>
        </is>
      </c>
      <c r="E8">
        <f>COUNTIF(A:A, "5 Б")</f>
        <v/>
      </c>
    </row>
    <row r="9">
      <c r="D9" t="inlineStr">
        <is>
          <t>5 В</t>
        </is>
      </c>
      <c r="E9">
        <f>COUNTIF(A:A, "5 В")</f>
        <v/>
      </c>
    </row>
    <row r="10">
      <c r="D10" t="inlineStr">
        <is>
          <t>5 Г</t>
        </is>
      </c>
      <c r="E10">
        <f>COUNTIF(A:A, "5 Г")</f>
        <v/>
      </c>
    </row>
    <row r="11">
      <c r="D11" t="inlineStr">
        <is>
          <t>5 Д</t>
        </is>
      </c>
      <c r="E11">
        <f>COUNTIF(A:A, "5 Д")</f>
        <v/>
      </c>
    </row>
    <row r="12">
      <c r="D12" t="inlineStr">
        <is>
          <t>6 А</t>
        </is>
      </c>
      <c r="E12">
        <f>COUNTIF(A:A, "6 А")</f>
        <v/>
      </c>
    </row>
    <row r="13">
      <c r="D13" t="inlineStr">
        <is>
          <t>6 Б</t>
        </is>
      </c>
      <c r="E13">
        <f>COUNTIF(A:A, "6 Б")</f>
        <v/>
      </c>
    </row>
    <row r="14">
      <c r="D14" t="inlineStr">
        <is>
          <t>6 В</t>
        </is>
      </c>
      <c r="E14">
        <f>COUNTIF(A:A, "6 В")</f>
        <v/>
      </c>
    </row>
    <row r="15">
      <c r="D15" t="inlineStr">
        <is>
          <t>6 Г</t>
        </is>
      </c>
      <c r="E15">
        <f>COUNTIF(A:A, "6 Г")</f>
        <v/>
      </c>
    </row>
    <row r="16">
      <c r="D16" t="inlineStr">
        <is>
          <t>6 Д</t>
        </is>
      </c>
      <c r="E16">
        <f>COUNTIF(A:A, "6 Д")</f>
        <v/>
      </c>
    </row>
    <row r="17">
      <c r="D17" t="inlineStr">
        <is>
          <t>7 А</t>
        </is>
      </c>
      <c r="E17">
        <f>COUNTIF(A:A, "7 А")</f>
        <v/>
      </c>
    </row>
    <row r="18">
      <c r="D18" t="inlineStr">
        <is>
          <t>7 Б</t>
        </is>
      </c>
      <c r="E18">
        <f>COUNTIF(A:A, "7 Б")</f>
        <v/>
      </c>
    </row>
    <row r="19">
      <c r="D19" t="inlineStr">
        <is>
          <t>7 В</t>
        </is>
      </c>
      <c r="E19">
        <f>COUNTIF(A:A, "7 В")</f>
        <v/>
      </c>
    </row>
    <row r="20">
      <c r="D20" t="inlineStr">
        <is>
          <t>7 Г</t>
        </is>
      </c>
      <c r="E20">
        <f>COUNTIF(A:A, "7 Г")</f>
        <v/>
      </c>
    </row>
    <row r="21">
      <c r="D21" t="inlineStr">
        <is>
          <t>8 А</t>
        </is>
      </c>
      <c r="E21">
        <f>COUNTIF(A:A, "8 А")</f>
        <v/>
      </c>
    </row>
    <row r="22">
      <c r="D22" t="inlineStr">
        <is>
          <t>8 Б</t>
        </is>
      </c>
      <c r="E22">
        <f>COUNTIF(A:A, "8 Б")</f>
        <v/>
      </c>
    </row>
    <row r="23">
      <c r="D23" t="inlineStr">
        <is>
          <t>8 В</t>
        </is>
      </c>
      <c r="E23">
        <f>COUNTIF(A:A, "8 В")</f>
        <v/>
      </c>
    </row>
    <row r="24">
      <c r="D24" t="inlineStr">
        <is>
          <t>9 А</t>
        </is>
      </c>
      <c r="E24">
        <f>COUNTIF(A:A, "9 А")</f>
        <v/>
      </c>
    </row>
    <row r="25">
      <c r="D25" t="inlineStr">
        <is>
          <t>9 Б</t>
        </is>
      </c>
      <c r="E25">
        <f>COUNTIF(A:A, "9 Б")</f>
        <v/>
      </c>
    </row>
    <row r="26">
      <c r="D26" t="inlineStr">
        <is>
          <t>9 В</t>
        </is>
      </c>
      <c r="E26">
        <f>COUNTIF(A:A, "9 В")</f>
        <v/>
      </c>
    </row>
    <row r="27">
      <c r="D27" t="inlineStr">
        <is>
          <t>9 Г</t>
        </is>
      </c>
      <c r="E27">
        <f>COUNTIF(A:A, "9 Г")</f>
        <v/>
      </c>
    </row>
    <row r="28">
      <c r="D28" t="inlineStr">
        <is>
          <t>10 А</t>
        </is>
      </c>
      <c r="E28">
        <f>COUNTIF(A:A, "10 А")</f>
        <v/>
      </c>
    </row>
    <row r="29">
      <c r="D29" t="inlineStr">
        <is>
          <t>10 Б</t>
        </is>
      </c>
      <c r="E29">
        <f>COUNTIF(A:A, "10 Б")</f>
        <v/>
      </c>
    </row>
    <row r="30">
      <c r="D30" t="inlineStr">
        <is>
          <t>11 А</t>
        </is>
      </c>
      <c r="E30">
        <f>COUNTIF(A:A, "11 А")</f>
        <v/>
      </c>
    </row>
    <row r="31">
      <c r="D31" t="inlineStr">
        <is>
          <t>11 Б</t>
        </is>
      </c>
      <c r="E31">
        <f>COUNTIF(A:A, "11 Б")</f>
        <v/>
      </c>
    </row>
    <row r="32">
      <c r="D32" s="1" t="inlineStr">
        <is>
          <t xml:space="preserve">Всего: </t>
        </is>
      </c>
      <c r="E32">
        <f>SUM(E2:E31)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50" customWidth="1" min="2" max="2"/>
  </cols>
  <sheetData>
    <row r="1">
      <c r="A1" s="1" t="inlineStr">
        <is>
          <t>Класс</t>
        </is>
      </c>
      <c r="B1" s="1" t="inlineStr">
        <is>
          <t>Ученик</t>
        </is>
      </c>
      <c r="D1" s="1" t="inlineStr">
        <is>
          <t>Класс</t>
        </is>
      </c>
      <c r="E1" s="1" t="inlineStr">
        <is>
          <t>Кол-во</t>
        </is>
      </c>
    </row>
    <row r="2">
      <c r="A2" t="inlineStr">
        <is>
          <t>10 А</t>
        </is>
      </c>
      <c r="B2" t="inlineStr">
        <is>
          <t>Артемов Тимофей Андреевич</t>
        </is>
      </c>
      <c r="D2" t="inlineStr">
        <is>
          <t>4 А</t>
        </is>
      </c>
      <c r="E2">
        <f>COUNTIF(A:A, "4 А")</f>
        <v/>
      </c>
    </row>
    <row r="3">
      <c r="A3" t="inlineStr">
        <is>
          <t>10 А</t>
        </is>
      </c>
      <c r="B3" t="inlineStr">
        <is>
          <t>Воробьёв Артём Константинович</t>
        </is>
      </c>
      <c r="D3" t="inlineStr">
        <is>
          <t>4 Б</t>
        </is>
      </c>
      <c r="E3">
        <f>COUNTIF(A:A, "4 Б")</f>
        <v/>
      </c>
    </row>
    <row r="4">
      <c r="A4" t="inlineStr">
        <is>
          <t>10 А</t>
        </is>
      </c>
      <c r="B4" t="inlineStr">
        <is>
          <t>Головченко Константин Сергеевич</t>
        </is>
      </c>
      <c r="D4" t="inlineStr">
        <is>
          <t>4 В</t>
        </is>
      </c>
      <c r="E4">
        <f>COUNTIF(A:A, "4 В")</f>
        <v/>
      </c>
    </row>
    <row r="5">
      <c r="D5" t="inlineStr">
        <is>
          <t>4 Г</t>
        </is>
      </c>
      <c r="E5">
        <f>COUNTIF(A:A, "4 Г")</f>
        <v/>
      </c>
    </row>
    <row r="6">
      <c r="D6" t="inlineStr">
        <is>
          <t>4 Д</t>
        </is>
      </c>
      <c r="E6">
        <f>COUNTIF(A:A, "4 Д")</f>
        <v/>
      </c>
    </row>
    <row r="7">
      <c r="D7" t="inlineStr">
        <is>
          <t>5 А</t>
        </is>
      </c>
      <c r="E7">
        <f>COUNTIF(A:A, "5 А")</f>
        <v/>
      </c>
    </row>
    <row r="8">
      <c r="D8" t="inlineStr">
        <is>
          <t>5 Б</t>
        </is>
      </c>
      <c r="E8">
        <f>COUNTIF(A:A, "5 Б")</f>
        <v/>
      </c>
    </row>
    <row r="9">
      <c r="D9" t="inlineStr">
        <is>
          <t>5 В</t>
        </is>
      </c>
      <c r="E9">
        <f>COUNTIF(A:A, "5 В")</f>
        <v/>
      </c>
    </row>
    <row r="10">
      <c r="D10" t="inlineStr">
        <is>
          <t>5 Г</t>
        </is>
      </c>
      <c r="E10">
        <f>COUNTIF(A:A, "5 Г")</f>
        <v/>
      </c>
    </row>
    <row r="11">
      <c r="D11" t="inlineStr">
        <is>
          <t>5 Д</t>
        </is>
      </c>
      <c r="E11">
        <f>COUNTIF(A:A, "5 Д")</f>
        <v/>
      </c>
    </row>
    <row r="12">
      <c r="D12" t="inlineStr">
        <is>
          <t>6 А</t>
        </is>
      </c>
      <c r="E12">
        <f>COUNTIF(A:A, "6 А")</f>
        <v/>
      </c>
    </row>
    <row r="13">
      <c r="D13" t="inlineStr">
        <is>
          <t>6 Б</t>
        </is>
      </c>
      <c r="E13">
        <f>COUNTIF(A:A, "6 Б")</f>
        <v/>
      </c>
    </row>
    <row r="14">
      <c r="D14" t="inlineStr">
        <is>
          <t>6 В</t>
        </is>
      </c>
      <c r="E14">
        <f>COUNTIF(A:A, "6 В")</f>
        <v/>
      </c>
    </row>
    <row r="15">
      <c r="D15" t="inlineStr">
        <is>
          <t>6 Г</t>
        </is>
      </c>
      <c r="E15">
        <f>COUNTIF(A:A, "6 Г")</f>
        <v/>
      </c>
    </row>
    <row r="16">
      <c r="D16" t="inlineStr">
        <is>
          <t>6 Д</t>
        </is>
      </c>
      <c r="E16">
        <f>COUNTIF(A:A, "6 Д")</f>
        <v/>
      </c>
    </row>
    <row r="17">
      <c r="D17" t="inlineStr">
        <is>
          <t>7 А</t>
        </is>
      </c>
      <c r="E17">
        <f>COUNTIF(A:A, "7 А")</f>
        <v/>
      </c>
    </row>
    <row r="18">
      <c r="D18" t="inlineStr">
        <is>
          <t>7 Б</t>
        </is>
      </c>
      <c r="E18">
        <f>COUNTIF(A:A, "7 Б")</f>
        <v/>
      </c>
    </row>
    <row r="19">
      <c r="D19" t="inlineStr">
        <is>
          <t>7 В</t>
        </is>
      </c>
      <c r="E19">
        <f>COUNTIF(A:A, "7 В")</f>
        <v/>
      </c>
    </row>
    <row r="20">
      <c r="D20" t="inlineStr">
        <is>
          <t>7 Г</t>
        </is>
      </c>
      <c r="E20">
        <f>COUNTIF(A:A, "7 Г")</f>
        <v/>
      </c>
    </row>
    <row r="21">
      <c r="D21" t="inlineStr">
        <is>
          <t>8 А</t>
        </is>
      </c>
      <c r="E21">
        <f>COUNTIF(A:A, "8 А")</f>
        <v/>
      </c>
    </row>
    <row r="22">
      <c r="D22" t="inlineStr">
        <is>
          <t>8 Б</t>
        </is>
      </c>
      <c r="E22">
        <f>COUNTIF(A:A, "8 Б")</f>
        <v/>
      </c>
    </row>
    <row r="23">
      <c r="D23" t="inlineStr">
        <is>
          <t>8 В</t>
        </is>
      </c>
      <c r="E23">
        <f>COUNTIF(A:A, "8 В")</f>
        <v/>
      </c>
    </row>
    <row r="24">
      <c r="D24" t="inlineStr">
        <is>
          <t>9 А</t>
        </is>
      </c>
      <c r="E24">
        <f>COUNTIF(A:A, "9 А")</f>
        <v/>
      </c>
    </row>
    <row r="25">
      <c r="D25" t="inlineStr">
        <is>
          <t>9 Б</t>
        </is>
      </c>
      <c r="E25">
        <f>COUNTIF(A:A, "9 Б")</f>
        <v/>
      </c>
    </row>
    <row r="26">
      <c r="D26" t="inlineStr">
        <is>
          <t>9 В</t>
        </is>
      </c>
      <c r="E26">
        <f>COUNTIF(A:A, "9 В")</f>
        <v/>
      </c>
    </row>
    <row r="27">
      <c r="D27" t="inlineStr">
        <is>
          <t>9 Г</t>
        </is>
      </c>
      <c r="E27">
        <f>COUNTIF(A:A, "9 Г")</f>
        <v/>
      </c>
    </row>
    <row r="28">
      <c r="D28" t="inlineStr">
        <is>
          <t>10 А</t>
        </is>
      </c>
      <c r="E28">
        <f>COUNTIF(A:A, "10 А")</f>
        <v/>
      </c>
    </row>
    <row r="29">
      <c r="D29" t="inlineStr">
        <is>
          <t>10 Б</t>
        </is>
      </c>
      <c r="E29">
        <f>COUNTIF(A:A, "10 Б")</f>
        <v/>
      </c>
    </row>
    <row r="30">
      <c r="D30" t="inlineStr">
        <is>
          <t>11 А</t>
        </is>
      </c>
      <c r="E30">
        <f>COUNTIF(A:A, "11 А")</f>
        <v/>
      </c>
    </row>
    <row r="31">
      <c r="D31" t="inlineStr">
        <is>
          <t>11 Б</t>
        </is>
      </c>
      <c r="E31">
        <f>COUNTIF(A:A, "11 Б")</f>
        <v/>
      </c>
    </row>
    <row r="32">
      <c r="D32" s="1" t="inlineStr">
        <is>
          <t xml:space="preserve">Всего: </t>
        </is>
      </c>
      <c r="E32">
        <f>SUM(E2:E31)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50" customWidth="1" min="2" max="2"/>
  </cols>
  <sheetData>
    <row r="1">
      <c r="A1" s="1" t="inlineStr">
        <is>
          <t>Класс</t>
        </is>
      </c>
      <c r="B1" s="1" t="inlineStr">
        <is>
          <t>Ученик</t>
        </is>
      </c>
      <c r="D1" s="1" t="inlineStr">
        <is>
          <t>Класс</t>
        </is>
      </c>
      <c r="E1" s="1" t="inlineStr">
        <is>
          <t>Кол-во</t>
        </is>
      </c>
    </row>
    <row r="2">
      <c r="A2" t="inlineStr">
        <is>
          <t>10 А</t>
        </is>
      </c>
      <c r="B2" t="inlineStr">
        <is>
          <t>Головченко Константин Сергеевич</t>
        </is>
      </c>
      <c r="D2" t="inlineStr">
        <is>
          <t>4 А</t>
        </is>
      </c>
      <c r="E2">
        <f>COUNTIF(A:A, "4 А")</f>
        <v/>
      </c>
    </row>
    <row r="3">
      <c r="A3" t="inlineStr">
        <is>
          <t>10 А</t>
        </is>
      </c>
      <c r="B3" t="inlineStr">
        <is>
          <t>Иванова Арина Сергеевна</t>
        </is>
      </c>
      <c r="D3" t="inlineStr">
        <is>
          <t>4 Б</t>
        </is>
      </c>
      <c r="E3">
        <f>COUNTIF(A:A, "4 Б")</f>
        <v/>
      </c>
    </row>
    <row r="4">
      <c r="A4" t="inlineStr">
        <is>
          <t>10 А</t>
        </is>
      </c>
      <c r="B4" t="inlineStr">
        <is>
          <t>Кривошапка Евгений Алексеевич</t>
        </is>
      </c>
      <c r="D4" t="inlineStr">
        <is>
          <t>4 В</t>
        </is>
      </c>
      <c r="E4">
        <f>COUNTIF(A:A, "4 В")</f>
        <v/>
      </c>
    </row>
    <row r="5">
      <c r="D5" t="inlineStr">
        <is>
          <t>4 Г</t>
        </is>
      </c>
      <c r="E5">
        <f>COUNTIF(A:A, "4 Г")</f>
        <v/>
      </c>
    </row>
    <row r="6">
      <c r="D6" t="inlineStr">
        <is>
          <t>4 Д</t>
        </is>
      </c>
      <c r="E6">
        <f>COUNTIF(A:A, "4 Д")</f>
        <v/>
      </c>
    </row>
    <row r="7">
      <c r="D7" t="inlineStr">
        <is>
          <t>5 А</t>
        </is>
      </c>
      <c r="E7">
        <f>COUNTIF(A:A, "5 А")</f>
        <v/>
      </c>
    </row>
    <row r="8">
      <c r="D8" t="inlineStr">
        <is>
          <t>5 Б</t>
        </is>
      </c>
      <c r="E8">
        <f>COUNTIF(A:A, "5 Б")</f>
        <v/>
      </c>
    </row>
    <row r="9">
      <c r="D9" t="inlineStr">
        <is>
          <t>5 В</t>
        </is>
      </c>
      <c r="E9">
        <f>COUNTIF(A:A, "5 В")</f>
        <v/>
      </c>
    </row>
    <row r="10">
      <c r="D10" t="inlineStr">
        <is>
          <t>5 Г</t>
        </is>
      </c>
      <c r="E10">
        <f>COUNTIF(A:A, "5 Г")</f>
        <v/>
      </c>
    </row>
    <row r="11">
      <c r="D11" t="inlineStr">
        <is>
          <t>5 Д</t>
        </is>
      </c>
      <c r="E11">
        <f>COUNTIF(A:A, "5 Д")</f>
        <v/>
      </c>
    </row>
    <row r="12">
      <c r="D12" t="inlineStr">
        <is>
          <t>6 А</t>
        </is>
      </c>
      <c r="E12">
        <f>COUNTIF(A:A, "6 А")</f>
        <v/>
      </c>
    </row>
    <row r="13">
      <c r="D13" t="inlineStr">
        <is>
          <t>6 Б</t>
        </is>
      </c>
      <c r="E13">
        <f>COUNTIF(A:A, "6 Б")</f>
        <v/>
      </c>
    </row>
    <row r="14">
      <c r="D14" t="inlineStr">
        <is>
          <t>6 В</t>
        </is>
      </c>
      <c r="E14">
        <f>COUNTIF(A:A, "6 В")</f>
        <v/>
      </c>
    </row>
    <row r="15">
      <c r="D15" t="inlineStr">
        <is>
          <t>6 Г</t>
        </is>
      </c>
      <c r="E15">
        <f>COUNTIF(A:A, "6 Г")</f>
        <v/>
      </c>
    </row>
    <row r="16">
      <c r="D16" t="inlineStr">
        <is>
          <t>6 Д</t>
        </is>
      </c>
      <c r="E16">
        <f>COUNTIF(A:A, "6 Д")</f>
        <v/>
      </c>
    </row>
    <row r="17">
      <c r="D17" t="inlineStr">
        <is>
          <t>7 А</t>
        </is>
      </c>
      <c r="E17">
        <f>COUNTIF(A:A, "7 А")</f>
        <v/>
      </c>
    </row>
    <row r="18">
      <c r="D18" t="inlineStr">
        <is>
          <t>7 Б</t>
        </is>
      </c>
      <c r="E18">
        <f>COUNTIF(A:A, "7 Б")</f>
        <v/>
      </c>
    </row>
    <row r="19">
      <c r="D19" t="inlineStr">
        <is>
          <t>7 В</t>
        </is>
      </c>
      <c r="E19">
        <f>COUNTIF(A:A, "7 В")</f>
        <v/>
      </c>
    </row>
    <row r="20">
      <c r="D20" t="inlineStr">
        <is>
          <t>7 Г</t>
        </is>
      </c>
      <c r="E20">
        <f>COUNTIF(A:A, "7 Г")</f>
        <v/>
      </c>
    </row>
    <row r="21">
      <c r="D21" t="inlineStr">
        <is>
          <t>8 А</t>
        </is>
      </c>
      <c r="E21">
        <f>COUNTIF(A:A, "8 А")</f>
        <v/>
      </c>
    </row>
    <row r="22">
      <c r="D22" t="inlineStr">
        <is>
          <t>8 Б</t>
        </is>
      </c>
      <c r="E22">
        <f>COUNTIF(A:A, "8 Б")</f>
        <v/>
      </c>
    </row>
    <row r="23">
      <c r="D23" t="inlineStr">
        <is>
          <t>8 В</t>
        </is>
      </c>
      <c r="E23">
        <f>COUNTIF(A:A, "8 В")</f>
        <v/>
      </c>
    </row>
    <row r="24">
      <c r="D24" t="inlineStr">
        <is>
          <t>9 А</t>
        </is>
      </c>
      <c r="E24">
        <f>COUNTIF(A:A, "9 А")</f>
        <v/>
      </c>
    </row>
    <row r="25">
      <c r="D25" t="inlineStr">
        <is>
          <t>9 Б</t>
        </is>
      </c>
      <c r="E25">
        <f>COUNTIF(A:A, "9 Б")</f>
        <v/>
      </c>
    </row>
    <row r="26">
      <c r="D26" t="inlineStr">
        <is>
          <t>9 В</t>
        </is>
      </c>
      <c r="E26">
        <f>COUNTIF(A:A, "9 В")</f>
        <v/>
      </c>
    </row>
    <row r="27">
      <c r="D27" t="inlineStr">
        <is>
          <t>9 Г</t>
        </is>
      </c>
      <c r="E27">
        <f>COUNTIF(A:A, "9 Г")</f>
        <v/>
      </c>
    </row>
    <row r="28">
      <c r="D28" t="inlineStr">
        <is>
          <t>10 А</t>
        </is>
      </c>
      <c r="E28">
        <f>COUNTIF(A:A, "10 А")</f>
        <v/>
      </c>
    </row>
    <row r="29">
      <c r="D29" t="inlineStr">
        <is>
          <t>10 Б</t>
        </is>
      </c>
      <c r="E29">
        <f>COUNTIF(A:A, "10 Б")</f>
        <v/>
      </c>
    </row>
    <row r="30">
      <c r="D30" t="inlineStr">
        <is>
          <t>11 А</t>
        </is>
      </c>
      <c r="E30">
        <f>COUNTIF(A:A, "11 А")</f>
        <v/>
      </c>
    </row>
    <row r="31">
      <c r="D31" t="inlineStr">
        <is>
          <t>11 Б</t>
        </is>
      </c>
      <c r="E31">
        <f>COUNTIF(A:A, "11 Б")</f>
        <v/>
      </c>
    </row>
    <row r="32">
      <c r="D32" s="1" t="inlineStr">
        <is>
          <t xml:space="preserve">Всего: </t>
        </is>
      </c>
      <c r="E32">
        <f>SUM(E2:E31)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50" customWidth="1" min="2" max="2"/>
  </cols>
  <sheetData>
    <row r="1">
      <c r="A1" s="1" t="inlineStr">
        <is>
          <t>Класс</t>
        </is>
      </c>
      <c r="B1" s="1" t="inlineStr">
        <is>
          <t>Ученик</t>
        </is>
      </c>
      <c r="D1" s="1" t="inlineStr">
        <is>
          <t>Класс</t>
        </is>
      </c>
      <c r="E1" s="1" t="inlineStr">
        <is>
          <t>Кол-во</t>
        </is>
      </c>
    </row>
    <row r="2">
      <c r="A2" t="inlineStr">
        <is>
          <t>10 А</t>
        </is>
      </c>
      <c r="B2" t="inlineStr">
        <is>
          <t>Воробьёв Артём Константинович</t>
        </is>
      </c>
      <c r="D2" t="inlineStr">
        <is>
          <t>4 А</t>
        </is>
      </c>
      <c r="E2">
        <f>COUNTIF(A:A, "4 А")</f>
        <v/>
      </c>
    </row>
    <row r="3">
      <c r="D3" t="inlineStr">
        <is>
          <t>4 Б</t>
        </is>
      </c>
      <c r="E3">
        <f>COUNTIF(A:A, "4 Б")</f>
        <v/>
      </c>
    </row>
    <row r="4">
      <c r="D4" t="inlineStr">
        <is>
          <t>4 В</t>
        </is>
      </c>
      <c r="E4">
        <f>COUNTIF(A:A, "4 В")</f>
        <v/>
      </c>
    </row>
    <row r="5">
      <c r="D5" t="inlineStr">
        <is>
          <t>4 Г</t>
        </is>
      </c>
      <c r="E5">
        <f>COUNTIF(A:A, "4 Г")</f>
        <v/>
      </c>
    </row>
    <row r="6">
      <c r="D6" t="inlineStr">
        <is>
          <t>4 Д</t>
        </is>
      </c>
      <c r="E6">
        <f>COUNTIF(A:A, "4 Д")</f>
        <v/>
      </c>
    </row>
    <row r="7">
      <c r="D7" t="inlineStr">
        <is>
          <t>5 А</t>
        </is>
      </c>
      <c r="E7">
        <f>COUNTIF(A:A, "5 А")</f>
        <v/>
      </c>
    </row>
    <row r="8">
      <c r="D8" t="inlineStr">
        <is>
          <t>5 Б</t>
        </is>
      </c>
      <c r="E8">
        <f>COUNTIF(A:A, "5 Б")</f>
        <v/>
      </c>
    </row>
    <row r="9">
      <c r="D9" t="inlineStr">
        <is>
          <t>5 В</t>
        </is>
      </c>
      <c r="E9">
        <f>COUNTIF(A:A, "5 В")</f>
        <v/>
      </c>
    </row>
    <row r="10">
      <c r="D10" t="inlineStr">
        <is>
          <t>5 Г</t>
        </is>
      </c>
      <c r="E10">
        <f>COUNTIF(A:A, "5 Г")</f>
        <v/>
      </c>
    </row>
    <row r="11">
      <c r="D11" t="inlineStr">
        <is>
          <t>5 Д</t>
        </is>
      </c>
      <c r="E11">
        <f>COUNTIF(A:A, "5 Д")</f>
        <v/>
      </c>
    </row>
    <row r="12">
      <c r="D12" t="inlineStr">
        <is>
          <t>6 А</t>
        </is>
      </c>
      <c r="E12">
        <f>COUNTIF(A:A, "6 А")</f>
        <v/>
      </c>
    </row>
    <row r="13">
      <c r="D13" t="inlineStr">
        <is>
          <t>6 Б</t>
        </is>
      </c>
      <c r="E13">
        <f>COUNTIF(A:A, "6 Б")</f>
        <v/>
      </c>
    </row>
    <row r="14">
      <c r="D14" t="inlineStr">
        <is>
          <t>6 В</t>
        </is>
      </c>
      <c r="E14">
        <f>COUNTIF(A:A, "6 В")</f>
        <v/>
      </c>
    </row>
    <row r="15">
      <c r="D15" t="inlineStr">
        <is>
          <t>6 Г</t>
        </is>
      </c>
      <c r="E15">
        <f>COUNTIF(A:A, "6 Г")</f>
        <v/>
      </c>
    </row>
    <row r="16">
      <c r="D16" t="inlineStr">
        <is>
          <t>6 Д</t>
        </is>
      </c>
      <c r="E16">
        <f>COUNTIF(A:A, "6 Д")</f>
        <v/>
      </c>
    </row>
    <row r="17">
      <c r="D17" t="inlineStr">
        <is>
          <t>7 А</t>
        </is>
      </c>
      <c r="E17">
        <f>COUNTIF(A:A, "7 А")</f>
        <v/>
      </c>
    </row>
    <row r="18">
      <c r="D18" t="inlineStr">
        <is>
          <t>7 Б</t>
        </is>
      </c>
      <c r="E18">
        <f>COUNTIF(A:A, "7 Б")</f>
        <v/>
      </c>
    </row>
    <row r="19">
      <c r="D19" t="inlineStr">
        <is>
          <t>7 В</t>
        </is>
      </c>
      <c r="E19">
        <f>COUNTIF(A:A, "7 В")</f>
        <v/>
      </c>
    </row>
    <row r="20">
      <c r="D20" t="inlineStr">
        <is>
          <t>7 Г</t>
        </is>
      </c>
      <c r="E20">
        <f>COUNTIF(A:A, "7 Г")</f>
        <v/>
      </c>
    </row>
    <row r="21">
      <c r="D21" t="inlineStr">
        <is>
          <t>8 А</t>
        </is>
      </c>
      <c r="E21">
        <f>COUNTIF(A:A, "8 А")</f>
        <v/>
      </c>
    </row>
    <row r="22">
      <c r="D22" t="inlineStr">
        <is>
          <t>8 Б</t>
        </is>
      </c>
      <c r="E22">
        <f>COUNTIF(A:A, "8 Б")</f>
        <v/>
      </c>
    </row>
    <row r="23">
      <c r="D23" t="inlineStr">
        <is>
          <t>8 В</t>
        </is>
      </c>
      <c r="E23">
        <f>COUNTIF(A:A, "8 В")</f>
        <v/>
      </c>
    </row>
    <row r="24">
      <c r="D24" t="inlineStr">
        <is>
          <t>9 А</t>
        </is>
      </c>
      <c r="E24">
        <f>COUNTIF(A:A, "9 А")</f>
        <v/>
      </c>
    </row>
    <row r="25">
      <c r="D25" t="inlineStr">
        <is>
          <t>9 Б</t>
        </is>
      </c>
      <c r="E25">
        <f>COUNTIF(A:A, "9 Б")</f>
        <v/>
      </c>
    </row>
    <row r="26">
      <c r="D26" t="inlineStr">
        <is>
          <t>9 В</t>
        </is>
      </c>
      <c r="E26">
        <f>COUNTIF(A:A, "9 В")</f>
        <v/>
      </c>
    </row>
    <row r="27">
      <c r="D27" t="inlineStr">
        <is>
          <t>9 Г</t>
        </is>
      </c>
      <c r="E27">
        <f>COUNTIF(A:A, "9 Г")</f>
        <v/>
      </c>
    </row>
    <row r="28">
      <c r="D28" t="inlineStr">
        <is>
          <t>10 А</t>
        </is>
      </c>
      <c r="E28">
        <f>COUNTIF(A:A, "10 А")</f>
        <v/>
      </c>
    </row>
    <row r="29">
      <c r="D29" t="inlineStr">
        <is>
          <t>10 Б</t>
        </is>
      </c>
      <c r="E29">
        <f>COUNTIF(A:A, "10 Б")</f>
        <v/>
      </c>
    </row>
    <row r="30">
      <c r="D30" t="inlineStr">
        <is>
          <t>11 А</t>
        </is>
      </c>
      <c r="E30">
        <f>COUNTIF(A:A, "11 А")</f>
        <v/>
      </c>
    </row>
    <row r="31">
      <c r="D31" t="inlineStr">
        <is>
          <t>11 Б</t>
        </is>
      </c>
      <c r="E31">
        <f>COUNTIF(A:A, "11 Б")</f>
        <v/>
      </c>
    </row>
    <row r="32">
      <c r="D32" s="1" t="inlineStr">
        <is>
          <t xml:space="preserve">Всего: </t>
        </is>
      </c>
      <c r="E32">
        <f>SUM(E2:E31)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50" customWidth="1" min="2" max="2"/>
  </cols>
  <sheetData>
    <row r="1">
      <c r="A1" s="1" t="inlineStr">
        <is>
          <t>Класс</t>
        </is>
      </c>
      <c r="B1" s="1" t="inlineStr">
        <is>
          <t>Ученик</t>
        </is>
      </c>
      <c r="D1" s="1" t="inlineStr">
        <is>
          <t>Класс</t>
        </is>
      </c>
      <c r="E1" s="1" t="inlineStr">
        <is>
          <t>Кол-во</t>
        </is>
      </c>
    </row>
    <row r="2">
      <c r="A2" t="inlineStr">
        <is>
          <t>10 А</t>
        </is>
      </c>
      <c r="B2" t="inlineStr">
        <is>
          <t>Воробьёв Артём Константинович</t>
        </is>
      </c>
      <c r="D2" t="inlineStr">
        <is>
          <t>4 А</t>
        </is>
      </c>
      <c r="E2">
        <f>COUNTIF(A:A, "4 А")</f>
        <v/>
      </c>
    </row>
    <row r="3">
      <c r="A3" t="inlineStr">
        <is>
          <t>10 А</t>
        </is>
      </c>
      <c r="B3" t="inlineStr">
        <is>
          <t>Головченко Константин Сергеевич</t>
        </is>
      </c>
      <c r="D3" t="inlineStr">
        <is>
          <t>4 Б</t>
        </is>
      </c>
      <c r="E3">
        <f>COUNTIF(A:A, "4 Б")</f>
        <v/>
      </c>
    </row>
    <row r="4">
      <c r="D4" t="inlineStr">
        <is>
          <t>4 В</t>
        </is>
      </c>
      <c r="E4">
        <f>COUNTIF(A:A, "4 В")</f>
        <v/>
      </c>
    </row>
    <row r="5">
      <c r="D5" t="inlineStr">
        <is>
          <t>4 Г</t>
        </is>
      </c>
      <c r="E5">
        <f>COUNTIF(A:A, "4 Г")</f>
        <v/>
      </c>
    </row>
    <row r="6">
      <c r="D6" t="inlineStr">
        <is>
          <t>4 Д</t>
        </is>
      </c>
      <c r="E6">
        <f>COUNTIF(A:A, "4 Д")</f>
        <v/>
      </c>
    </row>
    <row r="7">
      <c r="D7" t="inlineStr">
        <is>
          <t>5 А</t>
        </is>
      </c>
      <c r="E7">
        <f>COUNTIF(A:A, "5 А")</f>
        <v/>
      </c>
    </row>
    <row r="8">
      <c r="D8" t="inlineStr">
        <is>
          <t>5 Б</t>
        </is>
      </c>
      <c r="E8">
        <f>COUNTIF(A:A, "5 Б")</f>
        <v/>
      </c>
    </row>
    <row r="9">
      <c r="D9" t="inlineStr">
        <is>
          <t>5 В</t>
        </is>
      </c>
      <c r="E9">
        <f>COUNTIF(A:A, "5 В")</f>
        <v/>
      </c>
    </row>
    <row r="10">
      <c r="D10" t="inlineStr">
        <is>
          <t>5 Г</t>
        </is>
      </c>
      <c r="E10">
        <f>COUNTIF(A:A, "5 Г")</f>
        <v/>
      </c>
    </row>
    <row r="11">
      <c r="D11" t="inlineStr">
        <is>
          <t>5 Д</t>
        </is>
      </c>
      <c r="E11">
        <f>COUNTIF(A:A, "5 Д")</f>
        <v/>
      </c>
    </row>
    <row r="12">
      <c r="D12" t="inlineStr">
        <is>
          <t>6 А</t>
        </is>
      </c>
      <c r="E12">
        <f>COUNTIF(A:A, "6 А")</f>
        <v/>
      </c>
    </row>
    <row r="13">
      <c r="D13" t="inlineStr">
        <is>
          <t>6 Б</t>
        </is>
      </c>
      <c r="E13">
        <f>COUNTIF(A:A, "6 Б")</f>
        <v/>
      </c>
    </row>
    <row r="14">
      <c r="D14" t="inlineStr">
        <is>
          <t>6 В</t>
        </is>
      </c>
      <c r="E14">
        <f>COUNTIF(A:A, "6 В")</f>
        <v/>
      </c>
    </row>
    <row r="15">
      <c r="D15" t="inlineStr">
        <is>
          <t>6 Г</t>
        </is>
      </c>
      <c r="E15">
        <f>COUNTIF(A:A, "6 Г")</f>
        <v/>
      </c>
    </row>
    <row r="16">
      <c r="D16" t="inlineStr">
        <is>
          <t>6 Д</t>
        </is>
      </c>
      <c r="E16">
        <f>COUNTIF(A:A, "6 Д")</f>
        <v/>
      </c>
    </row>
    <row r="17">
      <c r="D17" t="inlineStr">
        <is>
          <t>7 А</t>
        </is>
      </c>
      <c r="E17">
        <f>COUNTIF(A:A, "7 А")</f>
        <v/>
      </c>
    </row>
    <row r="18">
      <c r="D18" t="inlineStr">
        <is>
          <t>7 Б</t>
        </is>
      </c>
      <c r="E18">
        <f>COUNTIF(A:A, "7 Б")</f>
        <v/>
      </c>
    </row>
    <row r="19">
      <c r="D19" t="inlineStr">
        <is>
          <t>7 В</t>
        </is>
      </c>
      <c r="E19">
        <f>COUNTIF(A:A, "7 В")</f>
        <v/>
      </c>
    </row>
    <row r="20">
      <c r="D20" t="inlineStr">
        <is>
          <t>7 Г</t>
        </is>
      </c>
      <c r="E20">
        <f>COUNTIF(A:A, "7 Г")</f>
        <v/>
      </c>
    </row>
    <row r="21">
      <c r="D21" t="inlineStr">
        <is>
          <t>8 А</t>
        </is>
      </c>
      <c r="E21">
        <f>COUNTIF(A:A, "8 А")</f>
        <v/>
      </c>
    </row>
    <row r="22">
      <c r="D22" t="inlineStr">
        <is>
          <t>8 Б</t>
        </is>
      </c>
      <c r="E22">
        <f>COUNTIF(A:A, "8 Б")</f>
        <v/>
      </c>
    </row>
    <row r="23">
      <c r="D23" t="inlineStr">
        <is>
          <t>8 В</t>
        </is>
      </c>
      <c r="E23">
        <f>COUNTIF(A:A, "8 В")</f>
        <v/>
      </c>
    </row>
    <row r="24">
      <c r="D24" t="inlineStr">
        <is>
          <t>9 А</t>
        </is>
      </c>
      <c r="E24">
        <f>COUNTIF(A:A, "9 А")</f>
        <v/>
      </c>
    </row>
    <row r="25">
      <c r="D25" t="inlineStr">
        <is>
          <t>9 Б</t>
        </is>
      </c>
      <c r="E25">
        <f>COUNTIF(A:A, "9 Б")</f>
        <v/>
      </c>
    </row>
    <row r="26">
      <c r="D26" t="inlineStr">
        <is>
          <t>9 В</t>
        </is>
      </c>
      <c r="E26">
        <f>COUNTIF(A:A, "9 В")</f>
        <v/>
      </c>
    </row>
    <row r="27">
      <c r="D27" t="inlineStr">
        <is>
          <t>9 Г</t>
        </is>
      </c>
      <c r="E27">
        <f>COUNTIF(A:A, "9 Г")</f>
        <v/>
      </c>
    </row>
    <row r="28">
      <c r="D28" t="inlineStr">
        <is>
          <t>10 А</t>
        </is>
      </c>
      <c r="E28">
        <f>COUNTIF(A:A, "10 А")</f>
        <v/>
      </c>
    </row>
    <row r="29">
      <c r="D29" t="inlineStr">
        <is>
          <t>10 Б</t>
        </is>
      </c>
      <c r="E29">
        <f>COUNTIF(A:A, "10 Б")</f>
        <v/>
      </c>
    </row>
    <row r="30">
      <c r="D30" t="inlineStr">
        <is>
          <t>11 А</t>
        </is>
      </c>
      <c r="E30">
        <f>COUNTIF(A:A, "11 А")</f>
        <v/>
      </c>
    </row>
    <row r="31">
      <c r="D31" t="inlineStr">
        <is>
          <t>11 Б</t>
        </is>
      </c>
      <c r="E31">
        <f>COUNTIF(A:A, "11 Б")</f>
        <v/>
      </c>
    </row>
    <row r="32">
      <c r="D32" s="1" t="inlineStr">
        <is>
          <t xml:space="preserve">Всего: </t>
        </is>
      </c>
      <c r="E32">
        <f>SUM(E2:E31)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50" customWidth="1" min="2" max="2"/>
  </cols>
  <sheetData>
    <row r="1">
      <c r="A1" s="1" t="inlineStr">
        <is>
          <t>Класс</t>
        </is>
      </c>
      <c r="B1" s="1" t="inlineStr">
        <is>
          <t>Ученик</t>
        </is>
      </c>
      <c r="D1" s="1" t="inlineStr">
        <is>
          <t>Класс</t>
        </is>
      </c>
      <c r="E1" s="1" t="inlineStr">
        <is>
          <t>Кол-во</t>
        </is>
      </c>
    </row>
    <row r="2">
      <c r="A2" t="inlineStr">
        <is>
          <t>10 А</t>
        </is>
      </c>
      <c r="B2" t="inlineStr">
        <is>
          <t>Головченко Константин Сергеевич</t>
        </is>
      </c>
      <c r="D2" t="inlineStr">
        <is>
          <t>4 А</t>
        </is>
      </c>
      <c r="E2">
        <f>COUNTIF(A:A, "4 А")</f>
        <v/>
      </c>
    </row>
    <row r="3">
      <c r="A3" t="inlineStr">
        <is>
          <t>10 А</t>
        </is>
      </c>
      <c r="B3" t="inlineStr">
        <is>
          <t>Иванова Арина Сергеевна</t>
        </is>
      </c>
      <c r="D3" t="inlineStr">
        <is>
          <t>4 Б</t>
        </is>
      </c>
      <c r="E3">
        <f>COUNTIF(A:A, "4 Б")</f>
        <v/>
      </c>
    </row>
    <row r="4">
      <c r="A4" t="inlineStr">
        <is>
          <t>10 А</t>
        </is>
      </c>
      <c r="B4" t="inlineStr">
        <is>
          <t>Костарев Андрей Алексеевич</t>
        </is>
      </c>
      <c r="D4" t="inlineStr">
        <is>
          <t>4 В</t>
        </is>
      </c>
      <c r="E4">
        <f>COUNTIF(A:A, "4 В")</f>
        <v/>
      </c>
    </row>
    <row r="5">
      <c r="A5" t="inlineStr">
        <is>
          <t>10 А</t>
        </is>
      </c>
      <c r="B5" t="inlineStr">
        <is>
          <t>Кузнецова Анастасия Михайловна</t>
        </is>
      </c>
      <c r="D5" t="inlineStr">
        <is>
          <t>4 Г</t>
        </is>
      </c>
      <c r="E5">
        <f>COUNTIF(A:A, "4 Г")</f>
        <v/>
      </c>
    </row>
    <row r="6">
      <c r="A6" t="inlineStr">
        <is>
          <t>10 А</t>
        </is>
      </c>
      <c r="B6" t="inlineStr">
        <is>
          <t>Николаев Владислав Денисович</t>
        </is>
      </c>
      <c r="D6" t="inlineStr">
        <is>
          <t>4 Д</t>
        </is>
      </c>
      <c r="E6">
        <f>COUNTIF(A:A, "4 Д")</f>
        <v/>
      </c>
    </row>
    <row r="7">
      <c r="D7" t="inlineStr">
        <is>
          <t>5 А</t>
        </is>
      </c>
      <c r="E7">
        <f>COUNTIF(A:A, "5 А")</f>
        <v/>
      </c>
    </row>
    <row r="8">
      <c r="D8" t="inlineStr">
        <is>
          <t>5 Б</t>
        </is>
      </c>
      <c r="E8">
        <f>COUNTIF(A:A, "5 Б")</f>
        <v/>
      </c>
    </row>
    <row r="9">
      <c r="D9" t="inlineStr">
        <is>
          <t>5 В</t>
        </is>
      </c>
      <c r="E9">
        <f>COUNTIF(A:A, "5 В")</f>
        <v/>
      </c>
    </row>
    <row r="10">
      <c r="D10" t="inlineStr">
        <is>
          <t>5 Г</t>
        </is>
      </c>
      <c r="E10">
        <f>COUNTIF(A:A, "5 Г")</f>
        <v/>
      </c>
    </row>
    <row r="11">
      <c r="D11" t="inlineStr">
        <is>
          <t>5 Д</t>
        </is>
      </c>
      <c r="E11">
        <f>COUNTIF(A:A, "5 Д")</f>
        <v/>
      </c>
    </row>
    <row r="12">
      <c r="D12" t="inlineStr">
        <is>
          <t>6 А</t>
        </is>
      </c>
      <c r="E12">
        <f>COUNTIF(A:A, "6 А")</f>
        <v/>
      </c>
    </row>
    <row r="13">
      <c r="D13" t="inlineStr">
        <is>
          <t>6 Б</t>
        </is>
      </c>
      <c r="E13">
        <f>COUNTIF(A:A, "6 Б")</f>
        <v/>
      </c>
    </row>
    <row r="14">
      <c r="D14" t="inlineStr">
        <is>
          <t>6 В</t>
        </is>
      </c>
      <c r="E14">
        <f>COUNTIF(A:A, "6 В")</f>
        <v/>
      </c>
    </row>
    <row r="15">
      <c r="D15" t="inlineStr">
        <is>
          <t>6 Г</t>
        </is>
      </c>
      <c r="E15">
        <f>COUNTIF(A:A, "6 Г")</f>
        <v/>
      </c>
    </row>
    <row r="16">
      <c r="D16" t="inlineStr">
        <is>
          <t>6 Д</t>
        </is>
      </c>
      <c r="E16">
        <f>COUNTIF(A:A, "6 Д")</f>
        <v/>
      </c>
    </row>
    <row r="17">
      <c r="D17" t="inlineStr">
        <is>
          <t>7 А</t>
        </is>
      </c>
      <c r="E17">
        <f>COUNTIF(A:A, "7 А")</f>
        <v/>
      </c>
    </row>
    <row r="18">
      <c r="D18" t="inlineStr">
        <is>
          <t>7 Б</t>
        </is>
      </c>
      <c r="E18">
        <f>COUNTIF(A:A, "7 Б")</f>
        <v/>
      </c>
    </row>
    <row r="19">
      <c r="D19" t="inlineStr">
        <is>
          <t>7 В</t>
        </is>
      </c>
      <c r="E19">
        <f>COUNTIF(A:A, "7 В")</f>
        <v/>
      </c>
    </row>
    <row r="20">
      <c r="D20" t="inlineStr">
        <is>
          <t>7 Г</t>
        </is>
      </c>
      <c r="E20">
        <f>COUNTIF(A:A, "7 Г")</f>
        <v/>
      </c>
    </row>
    <row r="21">
      <c r="D21" t="inlineStr">
        <is>
          <t>8 А</t>
        </is>
      </c>
      <c r="E21">
        <f>COUNTIF(A:A, "8 А")</f>
        <v/>
      </c>
    </row>
    <row r="22">
      <c r="D22" t="inlineStr">
        <is>
          <t>8 Б</t>
        </is>
      </c>
      <c r="E22">
        <f>COUNTIF(A:A, "8 Б")</f>
        <v/>
      </c>
    </row>
    <row r="23">
      <c r="D23" t="inlineStr">
        <is>
          <t>8 В</t>
        </is>
      </c>
      <c r="E23">
        <f>COUNTIF(A:A, "8 В")</f>
        <v/>
      </c>
    </row>
    <row r="24">
      <c r="D24" t="inlineStr">
        <is>
          <t>9 А</t>
        </is>
      </c>
      <c r="E24">
        <f>COUNTIF(A:A, "9 А")</f>
        <v/>
      </c>
    </row>
    <row r="25">
      <c r="D25" t="inlineStr">
        <is>
          <t>9 Б</t>
        </is>
      </c>
      <c r="E25">
        <f>COUNTIF(A:A, "9 Б")</f>
        <v/>
      </c>
    </row>
    <row r="26">
      <c r="D26" t="inlineStr">
        <is>
          <t>9 В</t>
        </is>
      </c>
      <c r="E26">
        <f>COUNTIF(A:A, "9 В")</f>
        <v/>
      </c>
    </row>
    <row r="27">
      <c r="D27" t="inlineStr">
        <is>
          <t>9 Г</t>
        </is>
      </c>
      <c r="E27">
        <f>COUNTIF(A:A, "9 Г")</f>
        <v/>
      </c>
    </row>
    <row r="28">
      <c r="D28" t="inlineStr">
        <is>
          <t>10 А</t>
        </is>
      </c>
      <c r="E28">
        <f>COUNTIF(A:A, "10 А")</f>
        <v/>
      </c>
    </row>
    <row r="29">
      <c r="D29" t="inlineStr">
        <is>
          <t>10 Б</t>
        </is>
      </c>
      <c r="E29">
        <f>COUNTIF(A:A, "10 Б")</f>
        <v/>
      </c>
    </row>
    <row r="30">
      <c r="D30" t="inlineStr">
        <is>
          <t>11 А</t>
        </is>
      </c>
      <c r="E30">
        <f>COUNTIF(A:A, "11 А")</f>
        <v/>
      </c>
    </row>
    <row r="31">
      <c r="D31" t="inlineStr">
        <is>
          <t>11 Б</t>
        </is>
      </c>
      <c r="E31">
        <f>COUNTIF(A:A, "11 Б")</f>
        <v/>
      </c>
    </row>
    <row r="32">
      <c r="D32" s="1" t="inlineStr">
        <is>
          <t xml:space="preserve">Всего: </t>
        </is>
      </c>
      <c r="E32">
        <f>SUM(E2:E31)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50" customWidth="1" min="2" max="2"/>
  </cols>
  <sheetData>
    <row r="1">
      <c r="A1" s="1" t="inlineStr">
        <is>
          <t>Класс</t>
        </is>
      </c>
      <c r="B1" s="1" t="inlineStr">
        <is>
          <t>Ученик</t>
        </is>
      </c>
      <c r="D1" s="1" t="inlineStr">
        <is>
          <t>Класс</t>
        </is>
      </c>
      <c r="E1" s="1" t="inlineStr">
        <is>
          <t>Кол-во</t>
        </is>
      </c>
    </row>
    <row r="2">
      <c r="A2" t="inlineStr">
        <is>
          <t>10 А</t>
        </is>
      </c>
      <c r="B2" t="inlineStr">
        <is>
          <t>Костарев Андрей Алексеевич</t>
        </is>
      </c>
      <c r="D2" t="inlineStr">
        <is>
          <t>4 А</t>
        </is>
      </c>
      <c r="E2">
        <f>COUNTIF(A:A, "4 А")</f>
        <v/>
      </c>
    </row>
    <row r="3">
      <c r="A3" t="inlineStr">
        <is>
          <t>10 А</t>
        </is>
      </c>
      <c r="B3" t="inlineStr">
        <is>
          <t>Кривошапка Евгений Алексеевич</t>
        </is>
      </c>
      <c r="D3" t="inlineStr">
        <is>
          <t>4 Б</t>
        </is>
      </c>
      <c r="E3">
        <f>COUNTIF(A:A, "4 Б")</f>
        <v/>
      </c>
    </row>
    <row r="4">
      <c r="A4" t="inlineStr">
        <is>
          <t>10 А</t>
        </is>
      </c>
      <c r="B4" t="inlineStr">
        <is>
          <t>Кузнецова Анастасия Михайловна</t>
        </is>
      </c>
      <c r="D4" t="inlineStr">
        <is>
          <t>4 В</t>
        </is>
      </c>
      <c r="E4">
        <f>COUNTIF(A:A, "4 В")</f>
        <v/>
      </c>
    </row>
    <row r="5">
      <c r="A5" t="inlineStr">
        <is>
          <t>10 А</t>
        </is>
      </c>
      <c r="B5" t="inlineStr">
        <is>
          <t>Моськин Павел Сергеевич</t>
        </is>
      </c>
      <c r="D5" t="inlineStr">
        <is>
          <t>4 Г</t>
        </is>
      </c>
      <c r="E5">
        <f>COUNTIF(A:A, "4 Г")</f>
        <v/>
      </c>
    </row>
    <row r="6">
      <c r="A6" t="inlineStr">
        <is>
          <t>10 А</t>
        </is>
      </c>
      <c r="B6" t="inlineStr">
        <is>
          <t>Николаев Владислав Денисович</t>
        </is>
      </c>
      <c r="D6" t="inlineStr">
        <is>
          <t>4 Д</t>
        </is>
      </c>
      <c r="E6">
        <f>COUNTIF(A:A, "4 Д")</f>
        <v/>
      </c>
    </row>
    <row r="7">
      <c r="D7" t="inlineStr">
        <is>
          <t>5 А</t>
        </is>
      </c>
      <c r="E7">
        <f>COUNTIF(A:A, "5 А")</f>
        <v/>
      </c>
    </row>
    <row r="8">
      <c r="D8" t="inlineStr">
        <is>
          <t>5 Б</t>
        </is>
      </c>
      <c r="E8">
        <f>COUNTIF(A:A, "5 Б")</f>
        <v/>
      </c>
    </row>
    <row r="9">
      <c r="D9" t="inlineStr">
        <is>
          <t>5 В</t>
        </is>
      </c>
      <c r="E9">
        <f>COUNTIF(A:A, "5 В")</f>
        <v/>
      </c>
    </row>
    <row r="10">
      <c r="D10" t="inlineStr">
        <is>
          <t>5 Г</t>
        </is>
      </c>
      <c r="E10">
        <f>COUNTIF(A:A, "5 Г")</f>
        <v/>
      </c>
    </row>
    <row r="11">
      <c r="D11" t="inlineStr">
        <is>
          <t>5 Д</t>
        </is>
      </c>
      <c r="E11">
        <f>COUNTIF(A:A, "5 Д")</f>
        <v/>
      </c>
    </row>
    <row r="12">
      <c r="D12" t="inlineStr">
        <is>
          <t>6 А</t>
        </is>
      </c>
      <c r="E12">
        <f>COUNTIF(A:A, "6 А")</f>
        <v/>
      </c>
    </row>
    <row r="13">
      <c r="D13" t="inlineStr">
        <is>
          <t>6 Б</t>
        </is>
      </c>
      <c r="E13">
        <f>COUNTIF(A:A, "6 Б")</f>
        <v/>
      </c>
    </row>
    <row r="14">
      <c r="D14" t="inlineStr">
        <is>
          <t>6 В</t>
        </is>
      </c>
      <c r="E14">
        <f>COUNTIF(A:A, "6 В")</f>
        <v/>
      </c>
    </row>
    <row r="15">
      <c r="D15" t="inlineStr">
        <is>
          <t>6 Г</t>
        </is>
      </c>
      <c r="E15">
        <f>COUNTIF(A:A, "6 Г")</f>
        <v/>
      </c>
    </row>
    <row r="16">
      <c r="D16" t="inlineStr">
        <is>
          <t>6 Д</t>
        </is>
      </c>
      <c r="E16">
        <f>COUNTIF(A:A, "6 Д")</f>
        <v/>
      </c>
    </row>
    <row r="17">
      <c r="D17" t="inlineStr">
        <is>
          <t>7 А</t>
        </is>
      </c>
      <c r="E17">
        <f>COUNTIF(A:A, "7 А")</f>
        <v/>
      </c>
    </row>
    <row r="18">
      <c r="D18" t="inlineStr">
        <is>
          <t>7 Б</t>
        </is>
      </c>
      <c r="E18">
        <f>COUNTIF(A:A, "7 Б")</f>
        <v/>
      </c>
    </row>
    <row r="19">
      <c r="D19" t="inlineStr">
        <is>
          <t>7 В</t>
        </is>
      </c>
      <c r="E19">
        <f>COUNTIF(A:A, "7 В")</f>
        <v/>
      </c>
    </row>
    <row r="20">
      <c r="D20" t="inlineStr">
        <is>
          <t>7 Г</t>
        </is>
      </c>
      <c r="E20">
        <f>COUNTIF(A:A, "7 Г")</f>
        <v/>
      </c>
    </row>
    <row r="21">
      <c r="D21" t="inlineStr">
        <is>
          <t>8 А</t>
        </is>
      </c>
      <c r="E21">
        <f>COUNTIF(A:A, "8 А")</f>
        <v/>
      </c>
    </row>
    <row r="22">
      <c r="D22" t="inlineStr">
        <is>
          <t>8 Б</t>
        </is>
      </c>
      <c r="E22">
        <f>COUNTIF(A:A, "8 Б")</f>
        <v/>
      </c>
    </row>
    <row r="23">
      <c r="D23" t="inlineStr">
        <is>
          <t>8 В</t>
        </is>
      </c>
      <c r="E23">
        <f>COUNTIF(A:A, "8 В")</f>
        <v/>
      </c>
    </row>
    <row r="24">
      <c r="D24" t="inlineStr">
        <is>
          <t>9 А</t>
        </is>
      </c>
      <c r="E24">
        <f>COUNTIF(A:A, "9 А")</f>
        <v/>
      </c>
    </row>
    <row r="25">
      <c r="D25" t="inlineStr">
        <is>
          <t>9 Б</t>
        </is>
      </c>
      <c r="E25">
        <f>COUNTIF(A:A, "9 Б")</f>
        <v/>
      </c>
    </row>
    <row r="26">
      <c r="D26" t="inlineStr">
        <is>
          <t>9 В</t>
        </is>
      </c>
      <c r="E26">
        <f>COUNTIF(A:A, "9 В")</f>
        <v/>
      </c>
    </row>
    <row r="27">
      <c r="D27" t="inlineStr">
        <is>
          <t>9 Г</t>
        </is>
      </c>
      <c r="E27">
        <f>COUNTIF(A:A, "9 Г")</f>
        <v/>
      </c>
    </row>
    <row r="28">
      <c r="D28" t="inlineStr">
        <is>
          <t>10 А</t>
        </is>
      </c>
      <c r="E28">
        <f>COUNTIF(A:A, "10 А")</f>
        <v/>
      </c>
    </row>
    <row r="29">
      <c r="D29" t="inlineStr">
        <is>
          <t>10 Б</t>
        </is>
      </c>
      <c r="E29">
        <f>COUNTIF(A:A, "10 Б")</f>
        <v/>
      </c>
    </row>
    <row r="30">
      <c r="D30" t="inlineStr">
        <is>
          <t>11 А</t>
        </is>
      </c>
      <c r="E30">
        <f>COUNTIF(A:A, "11 А")</f>
        <v/>
      </c>
    </row>
    <row r="31">
      <c r="D31" t="inlineStr">
        <is>
          <t>11 Б</t>
        </is>
      </c>
      <c r="E31">
        <f>COUNTIF(A:A, "11 Б")</f>
        <v/>
      </c>
    </row>
    <row r="32">
      <c r="D32" s="1" t="inlineStr">
        <is>
          <t xml:space="preserve">Всего: </t>
        </is>
      </c>
      <c r="E32">
        <f>SUM(E2:E31)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50" customWidth="1" min="2" max="2"/>
  </cols>
  <sheetData>
    <row r="1">
      <c r="A1" s="1" t="inlineStr">
        <is>
          <t>Класс</t>
        </is>
      </c>
      <c r="B1" s="1" t="inlineStr">
        <is>
          <t>Ученик</t>
        </is>
      </c>
      <c r="D1" s="1" t="inlineStr">
        <is>
          <t>Класс</t>
        </is>
      </c>
      <c r="E1" s="1" t="inlineStr">
        <is>
          <t>Кол-во</t>
        </is>
      </c>
    </row>
    <row r="2">
      <c r="A2" t="inlineStr">
        <is>
          <t>10 А</t>
        </is>
      </c>
      <c r="B2" t="inlineStr">
        <is>
          <t>Кривошапка Евгений Алексеевич</t>
        </is>
      </c>
      <c r="D2" t="inlineStr">
        <is>
          <t>4 А</t>
        </is>
      </c>
      <c r="E2">
        <f>COUNTIF(A:A, "4 А")</f>
        <v/>
      </c>
    </row>
    <row r="3">
      <c r="A3" t="inlineStr">
        <is>
          <t>10 А</t>
        </is>
      </c>
      <c r="B3" t="inlineStr">
        <is>
          <t>Кузнецова Анастасия Михайловна</t>
        </is>
      </c>
      <c r="D3" t="inlineStr">
        <is>
          <t>4 Б</t>
        </is>
      </c>
      <c r="E3">
        <f>COUNTIF(A:A, "4 Б")</f>
        <v/>
      </c>
    </row>
    <row r="4">
      <c r="A4" t="inlineStr">
        <is>
          <t>10 А</t>
        </is>
      </c>
      <c r="B4" t="inlineStr">
        <is>
          <t>Немкова Анастасия Денисовна</t>
        </is>
      </c>
      <c r="D4" t="inlineStr">
        <is>
          <t>4 В</t>
        </is>
      </c>
      <c r="E4">
        <f>COUNTIF(A:A, "4 В")</f>
        <v/>
      </c>
    </row>
    <row r="5">
      <c r="D5" t="inlineStr">
        <is>
          <t>4 Г</t>
        </is>
      </c>
      <c r="E5">
        <f>COUNTIF(A:A, "4 Г")</f>
        <v/>
      </c>
    </row>
    <row r="6">
      <c r="D6" t="inlineStr">
        <is>
          <t>4 Д</t>
        </is>
      </c>
      <c r="E6">
        <f>COUNTIF(A:A, "4 Д")</f>
        <v/>
      </c>
    </row>
    <row r="7">
      <c r="D7" t="inlineStr">
        <is>
          <t>5 А</t>
        </is>
      </c>
      <c r="E7">
        <f>COUNTIF(A:A, "5 А")</f>
        <v/>
      </c>
    </row>
    <row r="8">
      <c r="D8" t="inlineStr">
        <is>
          <t>5 Б</t>
        </is>
      </c>
      <c r="E8">
        <f>COUNTIF(A:A, "5 Б")</f>
        <v/>
      </c>
    </row>
    <row r="9">
      <c r="D9" t="inlineStr">
        <is>
          <t>5 В</t>
        </is>
      </c>
      <c r="E9">
        <f>COUNTIF(A:A, "5 В")</f>
        <v/>
      </c>
    </row>
    <row r="10">
      <c r="D10" t="inlineStr">
        <is>
          <t>5 Г</t>
        </is>
      </c>
      <c r="E10">
        <f>COUNTIF(A:A, "5 Г")</f>
        <v/>
      </c>
    </row>
    <row r="11">
      <c r="D11" t="inlineStr">
        <is>
          <t>5 Д</t>
        </is>
      </c>
      <c r="E11">
        <f>COUNTIF(A:A, "5 Д")</f>
        <v/>
      </c>
    </row>
    <row r="12">
      <c r="D12" t="inlineStr">
        <is>
          <t>6 А</t>
        </is>
      </c>
      <c r="E12">
        <f>COUNTIF(A:A, "6 А")</f>
        <v/>
      </c>
    </row>
    <row r="13">
      <c r="D13" t="inlineStr">
        <is>
          <t>6 Б</t>
        </is>
      </c>
      <c r="E13">
        <f>COUNTIF(A:A, "6 Б")</f>
        <v/>
      </c>
    </row>
    <row r="14">
      <c r="D14" t="inlineStr">
        <is>
          <t>6 В</t>
        </is>
      </c>
      <c r="E14">
        <f>COUNTIF(A:A, "6 В")</f>
        <v/>
      </c>
    </row>
    <row r="15">
      <c r="D15" t="inlineStr">
        <is>
          <t>6 Г</t>
        </is>
      </c>
      <c r="E15">
        <f>COUNTIF(A:A, "6 Г")</f>
        <v/>
      </c>
    </row>
    <row r="16">
      <c r="D16" t="inlineStr">
        <is>
          <t>6 Д</t>
        </is>
      </c>
      <c r="E16">
        <f>COUNTIF(A:A, "6 Д")</f>
        <v/>
      </c>
    </row>
    <row r="17">
      <c r="D17" t="inlineStr">
        <is>
          <t>7 А</t>
        </is>
      </c>
      <c r="E17">
        <f>COUNTIF(A:A, "7 А")</f>
        <v/>
      </c>
    </row>
    <row r="18">
      <c r="D18" t="inlineStr">
        <is>
          <t>7 Б</t>
        </is>
      </c>
      <c r="E18">
        <f>COUNTIF(A:A, "7 Б")</f>
        <v/>
      </c>
    </row>
    <row r="19">
      <c r="D19" t="inlineStr">
        <is>
          <t>7 В</t>
        </is>
      </c>
      <c r="E19">
        <f>COUNTIF(A:A, "7 В")</f>
        <v/>
      </c>
    </row>
    <row r="20">
      <c r="D20" t="inlineStr">
        <is>
          <t>7 Г</t>
        </is>
      </c>
      <c r="E20">
        <f>COUNTIF(A:A, "7 Г")</f>
        <v/>
      </c>
    </row>
    <row r="21">
      <c r="D21" t="inlineStr">
        <is>
          <t>8 А</t>
        </is>
      </c>
      <c r="E21">
        <f>COUNTIF(A:A, "8 А")</f>
        <v/>
      </c>
    </row>
    <row r="22">
      <c r="D22" t="inlineStr">
        <is>
          <t>8 Б</t>
        </is>
      </c>
      <c r="E22">
        <f>COUNTIF(A:A, "8 Б")</f>
        <v/>
      </c>
    </row>
    <row r="23">
      <c r="D23" t="inlineStr">
        <is>
          <t>8 В</t>
        </is>
      </c>
      <c r="E23">
        <f>COUNTIF(A:A, "8 В")</f>
        <v/>
      </c>
    </row>
    <row r="24">
      <c r="D24" t="inlineStr">
        <is>
          <t>9 А</t>
        </is>
      </c>
      <c r="E24">
        <f>COUNTIF(A:A, "9 А")</f>
        <v/>
      </c>
    </row>
    <row r="25">
      <c r="D25" t="inlineStr">
        <is>
          <t>9 Б</t>
        </is>
      </c>
      <c r="E25">
        <f>COUNTIF(A:A, "9 Б")</f>
        <v/>
      </c>
    </row>
    <row r="26">
      <c r="D26" t="inlineStr">
        <is>
          <t>9 В</t>
        </is>
      </c>
      <c r="E26">
        <f>COUNTIF(A:A, "9 В")</f>
        <v/>
      </c>
    </row>
    <row r="27">
      <c r="D27" t="inlineStr">
        <is>
          <t>9 Г</t>
        </is>
      </c>
      <c r="E27">
        <f>COUNTIF(A:A, "9 Г")</f>
        <v/>
      </c>
    </row>
    <row r="28">
      <c r="D28" t="inlineStr">
        <is>
          <t>10 А</t>
        </is>
      </c>
      <c r="E28">
        <f>COUNTIF(A:A, "10 А")</f>
        <v/>
      </c>
    </row>
    <row r="29">
      <c r="D29" t="inlineStr">
        <is>
          <t>10 Б</t>
        </is>
      </c>
      <c r="E29">
        <f>COUNTIF(A:A, "10 Б")</f>
        <v/>
      </c>
    </row>
    <row r="30">
      <c r="D30" t="inlineStr">
        <is>
          <t>11 А</t>
        </is>
      </c>
      <c r="E30">
        <f>COUNTIF(A:A, "11 А")</f>
        <v/>
      </c>
    </row>
    <row r="31">
      <c r="D31" t="inlineStr">
        <is>
          <t>11 Б</t>
        </is>
      </c>
      <c r="E31">
        <f>COUNTIF(A:A, "11 Б")</f>
        <v/>
      </c>
    </row>
    <row r="32">
      <c r="D32" s="1" t="inlineStr">
        <is>
          <t xml:space="preserve">Всего: </t>
        </is>
      </c>
      <c r="E32">
        <f>SUM(E2:E31)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50" customWidth="1" min="2" max="2"/>
  </cols>
  <sheetData>
    <row r="1">
      <c r="A1" s="1" t="inlineStr">
        <is>
          <t>Класс</t>
        </is>
      </c>
      <c r="B1" s="1" t="inlineStr">
        <is>
          <t>Ученик</t>
        </is>
      </c>
      <c r="D1" s="1" t="inlineStr">
        <is>
          <t>Класс</t>
        </is>
      </c>
      <c r="E1" s="1" t="inlineStr">
        <is>
          <t>Кол-во</t>
        </is>
      </c>
    </row>
    <row r="2">
      <c r="A2" t="inlineStr">
        <is>
          <t>10 А</t>
        </is>
      </c>
      <c r="B2" t="inlineStr">
        <is>
          <t>Кузнецова Анастасия Михайловна</t>
        </is>
      </c>
      <c r="D2" t="inlineStr">
        <is>
          <t>4 А</t>
        </is>
      </c>
      <c r="E2">
        <f>COUNTIF(A:A, "4 А")</f>
        <v/>
      </c>
    </row>
    <row r="3">
      <c r="A3" t="inlineStr">
        <is>
          <t>10 А</t>
        </is>
      </c>
      <c r="B3" t="inlineStr">
        <is>
          <t>Моськин Павел Сергеевич</t>
        </is>
      </c>
      <c r="D3" t="inlineStr">
        <is>
          <t>4 Б</t>
        </is>
      </c>
      <c r="E3">
        <f>COUNTIF(A:A, "4 Б")</f>
        <v/>
      </c>
    </row>
    <row r="4">
      <c r="A4" t="inlineStr">
        <is>
          <t>10 А</t>
        </is>
      </c>
      <c r="B4" t="inlineStr">
        <is>
          <t>Немкова Анастасия Денисовна</t>
        </is>
      </c>
      <c r="D4" t="inlineStr">
        <is>
          <t>4 В</t>
        </is>
      </c>
      <c r="E4">
        <f>COUNTIF(A:A, "4 В")</f>
        <v/>
      </c>
    </row>
    <row r="5">
      <c r="D5" t="inlineStr">
        <is>
          <t>4 Г</t>
        </is>
      </c>
      <c r="E5">
        <f>COUNTIF(A:A, "4 Г")</f>
        <v/>
      </c>
    </row>
    <row r="6">
      <c r="D6" t="inlineStr">
        <is>
          <t>4 Д</t>
        </is>
      </c>
      <c r="E6">
        <f>COUNTIF(A:A, "4 Д")</f>
        <v/>
      </c>
    </row>
    <row r="7">
      <c r="D7" t="inlineStr">
        <is>
          <t>5 А</t>
        </is>
      </c>
      <c r="E7">
        <f>COUNTIF(A:A, "5 А")</f>
        <v/>
      </c>
    </row>
    <row r="8">
      <c r="D8" t="inlineStr">
        <is>
          <t>5 Б</t>
        </is>
      </c>
      <c r="E8">
        <f>COUNTIF(A:A, "5 Б")</f>
        <v/>
      </c>
    </row>
    <row r="9">
      <c r="D9" t="inlineStr">
        <is>
          <t>5 В</t>
        </is>
      </c>
      <c r="E9">
        <f>COUNTIF(A:A, "5 В")</f>
        <v/>
      </c>
    </row>
    <row r="10">
      <c r="D10" t="inlineStr">
        <is>
          <t>5 Г</t>
        </is>
      </c>
      <c r="E10">
        <f>COUNTIF(A:A, "5 Г")</f>
        <v/>
      </c>
    </row>
    <row r="11">
      <c r="D11" t="inlineStr">
        <is>
          <t>5 Д</t>
        </is>
      </c>
      <c r="E11">
        <f>COUNTIF(A:A, "5 Д")</f>
        <v/>
      </c>
    </row>
    <row r="12">
      <c r="D12" t="inlineStr">
        <is>
          <t>6 А</t>
        </is>
      </c>
      <c r="E12">
        <f>COUNTIF(A:A, "6 А")</f>
        <v/>
      </c>
    </row>
    <row r="13">
      <c r="D13" t="inlineStr">
        <is>
          <t>6 Б</t>
        </is>
      </c>
      <c r="E13">
        <f>COUNTIF(A:A, "6 Б")</f>
        <v/>
      </c>
    </row>
    <row r="14">
      <c r="D14" t="inlineStr">
        <is>
          <t>6 В</t>
        </is>
      </c>
      <c r="E14">
        <f>COUNTIF(A:A, "6 В")</f>
        <v/>
      </c>
    </row>
    <row r="15">
      <c r="D15" t="inlineStr">
        <is>
          <t>6 Г</t>
        </is>
      </c>
      <c r="E15">
        <f>COUNTIF(A:A, "6 Г")</f>
        <v/>
      </c>
    </row>
    <row r="16">
      <c r="D16" t="inlineStr">
        <is>
          <t>6 Д</t>
        </is>
      </c>
      <c r="E16">
        <f>COUNTIF(A:A, "6 Д")</f>
        <v/>
      </c>
    </row>
    <row r="17">
      <c r="D17" t="inlineStr">
        <is>
          <t>7 А</t>
        </is>
      </c>
      <c r="E17">
        <f>COUNTIF(A:A, "7 А")</f>
        <v/>
      </c>
    </row>
    <row r="18">
      <c r="D18" t="inlineStr">
        <is>
          <t>7 Б</t>
        </is>
      </c>
      <c r="E18">
        <f>COUNTIF(A:A, "7 Б")</f>
        <v/>
      </c>
    </row>
    <row r="19">
      <c r="D19" t="inlineStr">
        <is>
          <t>7 В</t>
        </is>
      </c>
      <c r="E19">
        <f>COUNTIF(A:A, "7 В")</f>
        <v/>
      </c>
    </row>
    <row r="20">
      <c r="D20" t="inlineStr">
        <is>
          <t>7 Г</t>
        </is>
      </c>
      <c r="E20">
        <f>COUNTIF(A:A, "7 Г")</f>
        <v/>
      </c>
    </row>
    <row r="21">
      <c r="D21" t="inlineStr">
        <is>
          <t>8 А</t>
        </is>
      </c>
      <c r="E21">
        <f>COUNTIF(A:A, "8 А")</f>
        <v/>
      </c>
    </row>
    <row r="22">
      <c r="D22" t="inlineStr">
        <is>
          <t>8 Б</t>
        </is>
      </c>
      <c r="E22">
        <f>COUNTIF(A:A, "8 Б")</f>
        <v/>
      </c>
    </row>
    <row r="23">
      <c r="D23" t="inlineStr">
        <is>
          <t>8 В</t>
        </is>
      </c>
      <c r="E23">
        <f>COUNTIF(A:A, "8 В")</f>
        <v/>
      </c>
    </row>
    <row r="24">
      <c r="D24" t="inlineStr">
        <is>
          <t>9 А</t>
        </is>
      </c>
      <c r="E24">
        <f>COUNTIF(A:A, "9 А")</f>
        <v/>
      </c>
    </row>
    <row r="25">
      <c r="D25" t="inlineStr">
        <is>
          <t>9 Б</t>
        </is>
      </c>
      <c r="E25">
        <f>COUNTIF(A:A, "9 Б")</f>
        <v/>
      </c>
    </row>
    <row r="26">
      <c r="D26" t="inlineStr">
        <is>
          <t>9 В</t>
        </is>
      </c>
      <c r="E26">
        <f>COUNTIF(A:A, "9 В")</f>
        <v/>
      </c>
    </row>
    <row r="27">
      <c r="D27" t="inlineStr">
        <is>
          <t>9 Г</t>
        </is>
      </c>
      <c r="E27">
        <f>COUNTIF(A:A, "9 Г")</f>
        <v/>
      </c>
    </row>
    <row r="28">
      <c r="D28" t="inlineStr">
        <is>
          <t>10 А</t>
        </is>
      </c>
      <c r="E28">
        <f>COUNTIF(A:A, "10 А")</f>
        <v/>
      </c>
    </row>
    <row r="29">
      <c r="D29" t="inlineStr">
        <is>
          <t>10 Б</t>
        </is>
      </c>
      <c r="E29">
        <f>COUNTIF(A:A, "10 Б")</f>
        <v/>
      </c>
    </row>
    <row r="30">
      <c r="D30" t="inlineStr">
        <is>
          <t>11 А</t>
        </is>
      </c>
      <c r="E30">
        <f>COUNTIF(A:A, "11 А")</f>
        <v/>
      </c>
    </row>
    <row r="31">
      <c r="D31" t="inlineStr">
        <is>
          <t>11 Б</t>
        </is>
      </c>
      <c r="E31">
        <f>COUNTIF(A:A, "11 Б")</f>
        <v/>
      </c>
    </row>
    <row r="32">
      <c r="D32" s="1" t="inlineStr">
        <is>
          <t xml:space="preserve">Всего: </t>
        </is>
      </c>
      <c r="E32">
        <f>SUM(E2:E31)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50" customWidth="1" min="2" max="2"/>
  </cols>
  <sheetData>
    <row r="1">
      <c r="A1" s="1" t="inlineStr">
        <is>
          <t>Класс</t>
        </is>
      </c>
      <c r="B1" s="1" t="inlineStr">
        <is>
          <t>Ученик</t>
        </is>
      </c>
      <c r="D1" s="1" t="inlineStr">
        <is>
          <t>Класс</t>
        </is>
      </c>
      <c r="E1" s="1" t="inlineStr">
        <is>
          <t>Кол-во</t>
        </is>
      </c>
    </row>
    <row r="2">
      <c r="A2" t="inlineStr">
        <is>
          <t>10 А</t>
        </is>
      </c>
      <c r="B2" t="inlineStr">
        <is>
          <t>Моськин Павел Сергеевич</t>
        </is>
      </c>
      <c r="D2" t="inlineStr">
        <is>
          <t>4 А</t>
        </is>
      </c>
      <c r="E2">
        <f>COUNTIF(A:A, "4 А")</f>
        <v/>
      </c>
    </row>
    <row r="3">
      <c r="A3" t="inlineStr">
        <is>
          <t>10 А</t>
        </is>
      </c>
      <c r="B3" t="inlineStr">
        <is>
          <t>Мурындина Елена Сергеевна</t>
        </is>
      </c>
      <c r="D3" t="inlineStr">
        <is>
          <t>4 Б</t>
        </is>
      </c>
      <c r="E3">
        <f>COUNTIF(A:A, "4 Б")</f>
        <v/>
      </c>
    </row>
    <row r="4">
      <c r="A4" t="inlineStr">
        <is>
          <t>10 А</t>
        </is>
      </c>
      <c r="B4" t="inlineStr">
        <is>
          <t>Николаев Владислав Денисович</t>
        </is>
      </c>
      <c r="D4" t="inlineStr">
        <is>
          <t>4 В</t>
        </is>
      </c>
      <c r="E4">
        <f>COUNTIF(A:A, "4 В")</f>
        <v/>
      </c>
    </row>
    <row r="5">
      <c r="A5" t="inlineStr">
        <is>
          <t>10 А</t>
        </is>
      </c>
      <c r="B5" t="inlineStr">
        <is>
          <t>Островецкий Иван Александрович</t>
        </is>
      </c>
      <c r="D5" t="inlineStr">
        <is>
          <t>4 Г</t>
        </is>
      </c>
      <c r="E5">
        <f>COUNTIF(A:A, "4 Г")</f>
        <v/>
      </c>
    </row>
    <row r="6">
      <c r="D6" t="inlineStr">
        <is>
          <t>4 Д</t>
        </is>
      </c>
      <c r="E6">
        <f>COUNTIF(A:A, "4 Д")</f>
        <v/>
      </c>
    </row>
    <row r="7">
      <c r="D7" t="inlineStr">
        <is>
          <t>5 А</t>
        </is>
      </c>
      <c r="E7">
        <f>COUNTIF(A:A, "5 А")</f>
        <v/>
      </c>
    </row>
    <row r="8">
      <c r="D8" t="inlineStr">
        <is>
          <t>5 Б</t>
        </is>
      </c>
      <c r="E8">
        <f>COUNTIF(A:A, "5 Б")</f>
        <v/>
      </c>
    </row>
    <row r="9">
      <c r="D9" t="inlineStr">
        <is>
          <t>5 В</t>
        </is>
      </c>
      <c r="E9">
        <f>COUNTIF(A:A, "5 В")</f>
        <v/>
      </c>
    </row>
    <row r="10">
      <c r="D10" t="inlineStr">
        <is>
          <t>5 Г</t>
        </is>
      </c>
      <c r="E10">
        <f>COUNTIF(A:A, "5 Г")</f>
        <v/>
      </c>
    </row>
    <row r="11">
      <c r="D11" t="inlineStr">
        <is>
          <t>5 Д</t>
        </is>
      </c>
      <c r="E11">
        <f>COUNTIF(A:A, "5 Д")</f>
        <v/>
      </c>
    </row>
    <row r="12">
      <c r="D12" t="inlineStr">
        <is>
          <t>6 А</t>
        </is>
      </c>
      <c r="E12">
        <f>COUNTIF(A:A, "6 А")</f>
        <v/>
      </c>
    </row>
    <row r="13">
      <c r="D13" t="inlineStr">
        <is>
          <t>6 Б</t>
        </is>
      </c>
      <c r="E13">
        <f>COUNTIF(A:A, "6 Б")</f>
        <v/>
      </c>
    </row>
    <row r="14">
      <c r="D14" t="inlineStr">
        <is>
          <t>6 В</t>
        </is>
      </c>
      <c r="E14">
        <f>COUNTIF(A:A, "6 В")</f>
        <v/>
      </c>
    </row>
    <row r="15">
      <c r="D15" t="inlineStr">
        <is>
          <t>6 Г</t>
        </is>
      </c>
      <c r="E15">
        <f>COUNTIF(A:A, "6 Г")</f>
        <v/>
      </c>
    </row>
    <row r="16">
      <c r="D16" t="inlineStr">
        <is>
          <t>6 Д</t>
        </is>
      </c>
      <c r="E16">
        <f>COUNTIF(A:A, "6 Д")</f>
        <v/>
      </c>
    </row>
    <row r="17">
      <c r="D17" t="inlineStr">
        <is>
          <t>7 А</t>
        </is>
      </c>
      <c r="E17">
        <f>COUNTIF(A:A, "7 А")</f>
        <v/>
      </c>
    </row>
    <row r="18">
      <c r="D18" t="inlineStr">
        <is>
          <t>7 Б</t>
        </is>
      </c>
      <c r="E18">
        <f>COUNTIF(A:A, "7 Б")</f>
        <v/>
      </c>
    </row>
    <row r="19">
      <c r="D19" t="inlineStr">
        <is>
          <t>7 В</t>
        </is>
      </c>
      <c r="E19">
        <f>COUNTIF(A:A, "7 В")</f>
        <v/>
      </c>
    </row>
    <row r="20">
      <c r="D20" t="inlineStr">
        <is>
          <t>7 Г</t>
        </is>
      </c>
      <c r="E20">
        <f>COUNTIF(A:A, "7 Г")</f>
        <v/>
      </c>
    </row>
    <row r="21">
      <c r="D21" t="inlineStr">
        <is>
          <t>8 А</t>
        </is>
      </c>
      <c r="E21">
        <f>COUNTIF(A:A, "8 А")</f>
        <v/>
      </c>
    </row>
    <row r="22">
      <c r="D22" t="inlineStr">
        <is>
          <t>8 Б</t>
        </is>
      </c>
      <c r="E22">
        <f>COUNTIF(A:A, "8 Б")</f>
        <v/>
      </c>
    </row>
    <row r="23">
      <c r="D23" t="inlineStr">
        <is>
          <t>8 В</t>
        </is>
      </c>
      <c r="E23">
        <f>COUNTIF(A:A, "8 В")</f>
        <v/>
      </c>
    </row>
    <row r="24">
      <c r="D24" t="inlineStr">
        <is>
          <t>9 А</t>
        </is>
      </c>
      <c r="E24">
        <f>COUNTIF(A:A, "9 А")</f>
        <v/>
      </c>
    </row>
    <row r="25">
      <c r="D25" t="inlineStr">
        <is>
          <t>9 Б</t>
        </is>
      </c>
      <c r="E25">
        <f>COUNTIF(A:A, "9 Б")</f>
        <v/>
      </c>
    </row>
    <row r="26">
      <c r="D26" t="inlineStr">
        <is>
          <t>9 В</t>
        </is>
      </c>
      <c r="E26">
        <f>COUNTIF(A:A, "9 В")</f>
        <v/>
      </c>
    </row>
    <row r="27">
      <c r="D27" t="inlineStr">
        <is>
          <t>9 Г</t>
        </is>
      </c>
      <c r="E27">
        <f>COUNTIF(A:A, "9 Г")</f>
        <v/>
      </c>
    </row>
    <row r="28">
      <c r="D28" t="inlineStr">
        <is>
          <t>10 А</t>
        </is>
      </c>
      <c r="E28">
        <f>COUNTIF(A:A, "10 А")</f>
        <v/>
      </c>
    </row>
    <row r="29">
      <c r="D29" t="inlineStr">
        <is>
          <t>10 Б</t>
        </is>
      </c>
      <c r="E29">
        <f>COUNTIF(A:A, "10 Б")</f>
        <v/>
      </c>
    </row>
    <row r="30">
      <c r="D30" t="inlineStr">
        <is>
          <t>11 А</t>
        </is>
      </c>
      <c r="E30">
        <f>COUNTIF(A:A, "11 А")</f>
        <v/>
      </c>
    </row>
    <row r="31">
      <c r="D31" t="inlineStr">
        <is>
          <t>11 Б</t>
        </is>
      </c>
      <c r="E31">
        <f>COUNTIF(A:A, "11 Б")</f>
        <v/>
      </c>
    </row>
    <row r="32">
      <c r="D32" s="1" t="inlineStr">
        <is>
          <t xml:space="preserve">Всего: </t>
        </is>
      </c>
      <c r="E32">
        <f>SUM(E2:E31)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50" customWidth="1" min="2" max="2"/>
  </cols>
  <sheetData>
    <row r="1">
      <c r="A1" s="1" t="inlineStr">
        <is>
          <t>Класс</t>
        </is>
      </c>
      <c r="B1" s="1" t="inlineStr">
        <is>
          <t>Ученик</t>
        </is>
      </c>
      <c r="D1" s="1" t="inlineStr">
        <is>
          <t>Класс</t>
        </is>
      </c>
      <c r="E1" s="1" t="inlineStr">
        <is>
          <t>Кол-во</t>
        </is>
      </c>
    </row>
    <row r="2">
      <c r="A2" t="inlineStr">
        <is>
          <t>10 А</t>
        </is>
      </c>
      <c r="B2" t="inlineStr">
        <is>
          <t>Моськин Павел Сергеевич</t>
        </is>
      </c>
      <c r="D2" t="inlineStr">
        <is>
          <t>4 А</t>
        </is>
      </c>
      <c r="E2">
        <f>COUNTIF(A:A, "4 А")</f>
        <v/>
      </c>
    </row>
    <row r="3">
      <c r="A3" t="inlineStr">
        <is>
          <t>10 А</t>
        </is>
      </c>
      <c r="B3" t="inlineStr">
        <is>
          <t>Мурындина Елена Сергеевна</t>
        </is>
      </c>
      <c r="D3" t="inlineStr">
        <is>
          <t>4 Б</t>
        </is>
      </c>
      <c r="E3">
        <f>COUNTIF(A:A, "4 Б")</f>
        <v/>
      </c>
    </row>
    <row r="4">
      <c r="A4" t="inlineStr">
        <is>
          <t>10 А</t>
        </is>
      </c>
      <c r="B4" t="inlineStr">
        <is>
          <t>Ожиганов Владислав Владимирович</t>
        </is>
      </c>
      <c r="D4" t="inlineStr">
        <is>
          <t>4 В</t>
        </is>
      </c>
      <c r="E4">
        <f>COUNTIF(A:A, "4 В")</f>
        <v/>
      </c>
    </row>
    <row r="5">
      <c r="A5" t="inlineStr">
        <is>
          <t>10 А</t>
        </is>
      </c>
      <c r="B5" t="inlineStr">
        <is>
          <t>Островецкий Иван Александрович</t>
        </is>
      </c>
      <c r="D5" t="inlineStr">
        <is>
          <t>4 Г</t>
        </is>
      </c>
      <c r="E5">
        <f>COUNTIF(A:A, "4 Г")</f>
        <v/>
      </c>
    </row>
    <row r="6">
      <c r="D6" t="inlineStr">
        <is>
          <t>4 Д</t>
        </is>
      </c>
      <c r="E6">
        <f>COUNTIF(A:A, "4 Д")</f>
        <v/>
      </c>
    </row>
    <row r="7">
      <c r="D7" t="inlineStr">
        <is>
          <t>5 А</t>
        </is>
      </c>
      <c r="E7">
        <f>COUNTIF(A:A, "5 А")</f>
        <v/>
      </c>
    </row>
    <row r="8">
      <c r="D8" t="inlineStr">
        <is>
          <t>5 Б</t>
        </is>
      </c>
      <c r="E8">
        <f>COUNTIF(A:A, "5 Б")</f>
        <v/>
      </c>
    </row>
    <row r="9">
      <c r="D9" t="inlineStr">
        <is>
          <t>5 В</t>
        </is>
      </c>
      <c r="E9">
        <f>COUNTIF(A:A, "5 В")</f>
        <v/>
      </c>
    </row>
    <row r="10">
      <c r="D10" t="inlineStr">
        <is>
          <t>5 Г</t>
        </is>
      </c>
      <c r="E10">
        <f>COUNTIF(A:A, "5 Г")</f>
        <v/>
      </c>
    </row>
    <row r="11">
      <c r="D11" t="inlineStr">
        <is>
          <t>5 Д</t>
        </is>
      </c>
      <c r="E11">
        <f>COUNTIF(A:A, "5 Д")</f>
        <v/>
      </c>
    </row>
    <row r="12">
      <c r="D12" t="inlineStr">
        <is>
          <t>6 А</t>
        </is>
      </c>
      <c r="E12">
        <f>COUNTIF(A:A, "6 А")</f>
        <v/>
      </c>
    </row>
    <row r="13">
      <c r="D13" t="inlineStr">
        <is>
          <t>6 Б</t>
        </is>
      </c>
      <c r="E13">
        <f>COUNTIF(A:A, "6 Б")</f>
        <v/>
      </c>
    </row>
    <row r="14">
      <c r="D14" t="inlineStr">
        <is>
          <t>6 В</t>
        </is>
      </c>
      <c r="E14">
        <f>COUNTIF(A:A, "6 В")</f>
        <v/>
      </c>
    </row>
    <row r="15">
      <c r="D15" t="inlineStr">
        <is>
          <t>6 Г</t>
        </is>
      </c>
      <c r="E15">
        <f>COUNTIF(A:A, "6 Г")</f>
        <v/>
      </c>
    </row>
    <row r="16">
      <c r="D16" t="inlineStr">
        <is>
          <t>6 Д</t>
        </is>
      </c>
      <c r="E16">
        <f>COUNTIF(A:A, "6 Д")</f>
        <v/>
      </c>
    </row>
    <row r="17">
      <c r="D17" t="inlineStr">
        <is>
          <t>7 А</t>
        </is>
      </c>
      <c r="E17">
        <f>COUNTIF(A:A, "7 А")</f>
        <v/>
      </c>
    </row>
    <row r="18">
      <c r="D18" t="inlineStr">
        <is>
          <t>7 Б</t>
        </is>
      </c>
      <c r="E18">
        <f>COUNTIF(A:A, "7 Б")</f>
        <v/>
      </c>
    </row>
    <row r="19">
      <c r="D19" t="inlineStr">
        <is>
          <t>7 В</t>
        </is>
      </c>
      <c r="E19">
        <f>COUNTIF(A:A, "7 В")</f>
        <v/>
      </c>
    </row>
    <row r="20">
      <c r="D20" t="inlineStr">
        <is>
          <t>7 Г</t>
        </is>
      </c>
      <c r="E20">
        <f>COUNTIF(A:A, "7 Г")</f>
        <v/>
      </c>
    </row>
    <row r="21">
      <c r="D21" t="inlineStr">
        <is>
          <t>8 А</t>
        </is>
      </c>
      <c r="E21">
        <f>COUNTIF(A:A, "8 А")</f>
        <v/>
      </c>
    </row>
    <row r="22">
      <c r="D22" t="inlineStr">
        <is>
          <t>8 Б</t>
        </is>
      </c>
      <c r="E22">
        <f>COUNTIF(A:A, "8 Б")</f>
        <v/>
      </c>
    </row>
    <row r="23">
      <c r="D23" t="inlineStr">
        <is>
          <t>8 В</t>
        </is>
      </c>
      <c r="E23">
        <f>COUNTIF(A:A, "8 В")</f>
        <v/>
      </c>
    </row>
    <row r="24">
      <c r="D24" t="inlineStr">
        <is>
          <t>9 А</t>
        </is>
      </c>
      <c r="E24">
        <f>COUNTIF(A:A, "9 А")</f>
        <v/>
      </c>
    </row>
    <row r="25">
      <c r="D25" t="inlineStr">
        <is>
          <t>9 Б</t>
        </is>
      </c>
      <c r="E25">
        <f>COUNTIF(A:A, "9 Б")</f>
        <v/>
      </c>
    </row>
    <row r="26">
      <c r="D26" t="inlineStr">
        <is>
          <t>9 В</t>
        </is>
      </c>
      <c r="E26">
        <f>COUNTIF(A:A, "9 В")</f>
        <v/>
      </c>
    </row>
    <row r="27">
      <c r="D27" t="inlineStr">
        <is>
          <t>9 Г</t>
        </is>
      </c>
      <c r="E27">
        <f>COUNTIF(A:A, "9 Г")</f>
        <v/>
      </c>
    </row>
    <row r="28">
      <c r="D28" t="inlineStr">
        <is>
          <t>10 А</t>
        </is>
      </c>
      <c r="E28">
        <f>COUNTIF(A:A, "10 А")</f>
        <v/>
      </c>
    </row>
    <row r="29">
      <c r="D29" t="inlineStr">
        <is>
          <t>10 Б</t>
        </is>
      </c>
      <c r="E29">
        <f>COUNTIF(A:A, "10 Б")</f>
        <v/>
      </c>
    </row>
    <row r="30">
      <c r="D30" t="inlineStr">
        <is>
          <t>11 А</t>
        </is>
      </c>
      <c r="E30">
        <f>COUNTIF(A:A, "11 А")</f>
        <v/>
      </c>
    </row>
    <row r="31">
      <c r="D31" t="inlineStr">
        <is>
          <t>11 Б</t>
        </is>
      </c>
      <c r="E31">
        <f>COUNTIF(A:A, "11 Б")</f>
        <v/>
      </c>
    </row>
    <row r="32">
      <c r="D32" s="1" t="inlineStr">
        <is>
          <t xml:space="preserve">Всего: </t>
        </is>
      </c>
      <c r="E32">
        <f>SUM(E2:E31)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50" customWidth="1" min="2" max="2"/>
  </cols>
  <sheetData>
    <row r="1">
      <c r="A1" s="1" t="inlineStr">
        <is>
          <t>Класс</t>
        </is>
      </c>
      <c r="B1" s="1" t="inlineStr">
        <is>
          <t>Ученик</t>
        </is>
      </c>
      <c r="D1" s="1" t="inlineStr">
        <is>
          <t>Класс</t>
        </is>
      </c>
      <c r="E1" s="1" t="inlineStr">
        <is>
          <t>Кол-во</t>
        </is>
      </c>
    </row>
    <row r="2">
      <c r="A2" t="inlineStr">
        <is>
          <t>10 А</t>
        </is>
      </c>
      <c r="B2" t="inlineStr">
        <is>
          <t>Моськин Павел Сергеевич</t>
        </is>
      </c>
      <c r="D2" t="inlineStr">
        <is>
          <t>4 А</t>
        </is>
      </c>
      <c r="E2">
        <f>COUNTIF(A:A, "4 А")</f>
        <v/>
      </c>
    </row>
    <row r="3">
      <c r="A3" t="inlineStr">
        <is>
          <t>10 А</t>
        </is>
      </c>
      <c r="B3" t="inlineStr">
        <is>
          <t>Николаев Владислав Денисович</t>
        </is>
      </c>
      <c r="D3" t="inlineStr">
        <is>
          <t>4 Б</t>
        </is>
      </c>
      <c r="E3">
        <f>COUNTIF(A:A, "4 Б")</f>
        <v/>
      </c>
    </row>
    <row r="4">
      <c r="A4" t="inlineStr">
        <is>
          <t>10 А</t>
        </is>
      </c>
      <c r="B4" t="inlineStr">
        <is>
          <t>Островецкий Иван Александрович</t>
        </is>
      </c>
      <c r="D4" t="inlineStr">
        <is>
          <t>4 В</t>
        </is>
      </c>
      <c r="E4">
        <f>COUNTIF(A:A, "4 В")</f>
        <v/>
      </c>
    </row>
    <row r="5">
      <c r="D5" t="inlineStr">
        <is>
          <t>4 Г</t>
        </is>
      </c>
      <c r="E5">
        <f>COUNTIF(A:A, "4 Г")</f>
        <v/>
      </c>
    </row>
    <row r="6">
      <c r="D6" t="inlineStr">
        <is>
          <t>4 Д</t>
        </is>
      </c>
      <c r="E6">
        <f>COUNTIF(A:A, "4 Д")</f>
        <v/>
      </c>
    </row>
    <row r="7">
      <c r="D7" t="inlineStr">
        <is>
          <t>5 А</t>
        </is>
      </c>
      <c r="E7">
        <f>COUNTIF(A:A, "5 А")</f>
        <v/>
      </c>
    </row>
    <row r="8">
      <c r="D8" t="inlineStr">
        <is>
          <t>5 Б</t>
        </is>
      </c>
      <c r="E8">
        <f>COUNTIF(A:A, "5 Б")</f>
        <v/>
      </c>
    </row>
    <row r="9">
      <c r="D9" t="inlineStr">
        <is>
          <t>5 В</t>
        </is>
      </c>
      <c r="E9">
        <f>COUNTIF(A:A, "5 В")</f>
        <v/>
      </c>
    </row>
    <row r="10">
      <c r="D10" t="inlineStr">
        <is>
          <t>5 Г</t>
        </is>
      </c>
      <c r="E10">
        <f>COUNTIF(A:A, "5 Г")</f>
        <v/>
      </c>
    </row>
    <row r="11">
      <c r="D11" t="inlineStr">
        <is>
          <t>5 Д</t>
        </is>
      </c>
      <c r="E11">
        <f>COUNTIF(A:A, "5 Д")</f>
        <v/>
      </c>
    </row>
    <row r="12">
      <c r="D12" t="inlineStr">
        <is>
          <t>6 А</t>
        </is>
      </c>
      <c r="E12">
        <f>COUNTIF(A:A, "6 А")</f>
        <v/>
      </c>
    </row>
    <row r="13">
      <c r="D13" t="inlineStr">
        <is>
          <t>6 Б</t>
        </is>
      </c>
      <c r="E13">
        <f>COUNTIF(A:A, "6 Б")</f>
        <v/>
      </c>
    </row>
    <row r="14">
      <c r="D14" t="inlineStr">
        <is>
          <t>6 В</t>
        </is>
      </c>
      <c r="E14">
        <f>COUNTIF(A:A, "6 В")</f>
        <v/>
      </c>
    </row>
    <row r="15">
      <c r="D15" t="inlineStr">
        <is>
          <t>6 Г</t>
        </is>
      </c>
      <c r="E15">
        <f>COUNTIF(A:A, "6 Г")</f>
        <v/>
      </c>
    </row>
    <row r="16">
      <c r="D16" t="inlineStr">
        <is>
          <t>6 Д</t>
        </is>
      </c>
      <c r="E16">
        <f>COUNTIF(A:A, "6 Д")</f>
        <v/>
      </c>
    </row>
    <row r="17">
      <c r="D17" t="inlineStr">
        <is>
          <t>7 А</t>
        </is>
      </c>
      <c r="E17">
        <f>COUNTIF(A:A, "7 А")</f>
        <v/>
      </c>
    </row>
    <row r="18">
      <c r="D18" t="inlineStr">
        <is>
          <t>7 Б</t>
        </is>
      </c>
      <c r="E18">
        <f>COUNTIF(A:A, "7 Б")</f>
        <v/>
      </c>
    </row>
    <row r="19">
      <c r="D19" t="inlineStr">
        <is>
          <t>7 В</t>
        </is>
      </c>
      <c r="E19">
        <f>COUNTIF(A:A, "7 В")</f>
        <v/>
      </c>
    </row>
    <row r="20">
      <c r="D20" t="inlineStr">
        <is>
          <t>7 Г</t>
        </is>
      </c>
      <c r="E20">
        <f>COUNTIF(A:A, "7 Г")</f>
        <v/>
      </c>
    </row>
    <row r="21">
      <c r="D21" t="inlineStr">
        <is>
          <t>8 А</t>
        </is>
      </c>
      <c r="E21">
        <f>COUNTIF(A:A, "8 А")</f>
        <v/>
      </c>
    </row>
    <row r="22">
      <c r="D22" t="inlineStr">
        <is>
          <t>8 Б</t>
        </is>
      </c>
      <c r="E22">
        <f>COUNTIF(A:A, "8 Б")</f>
        <v/>
      </c>
    </row>
    <row r="23">
      <c r="D23" t="inlineStr">
        <is>
          <t>8 В</t>
        </is>
      </c>
      <c r="E23">
        <f>COUNTIF(A:A, "8 В")</f>
        <v/>
      </c>
    </row>
    <row r="24">
      <c r="D24" t="inlineStr">
        <is>
          <t>9 А</t>
        </is>
      </c>
      <c r="E24">
        <f>COUNTIF(A:A, "9 А")</f>
        <v/>
      </c>
    </row>
    <row r="25">
      <c r="D25" t="inlineStr">
        <is>
          <t>9 Б</t>
        </is>
      </c>
      <c r="E25">
        <f>COUNTIF(A:A, "9 Б")</f>
        <v/>
      </c>
    </row>
    <row r="26">
      <c r="D26" t="inlineStr">
        <is>
          <t>9 В</t>
        </is>
      </c>
      <c r="E26">
        <f>COUNTIF(A:A, "9 В")</f>
        <v/>
      </c>
    </row>
    <row r="27">
      <c r="D27" t="inlineStr">
        <is>
          <t>9 Г</t>
        </is>
      </c>
      <c r="E27">
        <f>COUNTIF(A:A, "9 Г")</f>
        <v/>
      </c>
    </row>
    <row r="28">
      <c r="D28" t="inlineStr">
        <is>
          <t>10 А</t>
        </is>
      </c>
      <c r="E28">
        <f>COUNTIF(A:A, "10 А")</f>
        <v/>
      </c>
    </row>
    <row r="29">
      <c r="D29" t="inlineStr">
        <is>
          <t>10 Б</t>
        </is>
      </c>
      <c r="E29">
        <f>COUNTIF(A:A, "10 Б")</f>
        <v/>
      </c>
    </row>
    <row r="30">
      <c r="D30" t="inlineStr">
        <is>
          <t>11 А</t>
        </is>
      </c>
      <c r="E30">
        <f>COUNTIF(A:A, "11 А")</f>
        <v/>
      </c>
    </row>
    <row r="31">
      <c r="D31" t="inlineStr">
        <is>
          <t>11 Б</t>
        </is>
      </c>
      <c r="E31">
        <f>COUNTIF(A:A, "11 Б")</f>
        <v/>
      </c>
    </row>
    <row r="32">
      <c r="D32" s="1" t="inlineStr">
        <is>
          <t xml:space="preserve">Всего: </t>
        </is>
      </c>
      <c r="E32">
        <f>SUM(E2:E31)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50" customWidth="1" min="2" max="2"/>
  </cols>
  <sheetData>
    <row r="1">
      <c r="A1" s="1" t="inlineStr">
        <is>
          <t>Класс</t>
        </is>
      </c>
      <c r="B1" s="1" t="inlineStr">
        <is>
          <t>Ученик</t>
        </is>
      </c>
      <c r="D1" s="1" t="inlineStr">
        <is>
          <t>Класс</t>
        </is>
      </c>
      <c r="E1" s="1" t="inlineStr">
        <is>
          <t>Кол-во</t>
        </is>
      </c>
    </row>
    <row r="2">
      <c r="A2" t="inlineStr">
        <is>
          <t>10 А</t>
        </is>
      </c>
      <c r="B2" t="inlineStr">
        <is>
          <t>Николаев Владислав Денисович</t>
        </is>
      </c>
      <c r="D2" t="inlineStr">
        <is>
          <t>4 А</t>
        </is>
      </c>
      <c r="E2">
        <f>COUNTIF(A:A, "4 А")</f>
        <v/>
      </c>
    </row>
    <row r="3">
      <c r="A3" t="inlineStr">
        <is>
          <t>10 А</t>
        </is>
      </c>
      <c r="B3" t="inlineStr">
        <is>
          <t>Ожиганов Владислав Владимирович</t>
        </is>
      </c>
      <c r="D3" t="inlineStr">
        <is>
          <t>4 Б</t>
        </is>
      </c>
      <c r="E3">
        <f>COUNTIF(A:A, "4 Б")</f>
        <v/>
      </c>
    </row>
    <row r="4">
      <c r="A4" t="inlineStr">
        <is>
          <t>10 А</t>
        </is>
      </c>
      <c r="B4" t="inlineStr">
        <is>
          <t>Островецкий Иван Александрович</t>
        </is>
      </c>
      <c r="D4" t="inlineStr">
        <is>
          <t>4 В</t>
        </is>
      </c>
      <c r="E4">
        <f>COUNTIF(A:A, "4 В")</f>
        <v/>
      </c>
    </row>
    <row r="5">
      <c r="A5" t="inlineStr">
        <is>
          <t>10 А</t>
        </is>
      </c>
      <c r="B5" t="inlineStr">
        <is>
          <t>Рабчевский Владимир Дмитриевич</t>
        </is>
      </c>
      <c r="D5" t="inlineStr">
        <is>
          <t>4 Г</t>
        </is>
      </c>
      <c r="E5">
        <f>COUNTIF(A:A, "4 Г")</f>
        <v/>
      </c>
    </row>
    <row r="6">
      <c r="A6" t="inlineStr">
        <is>
          <t>10 А</t>
        </is>
      </c>
      <c r="B6" t="inlineStr">
        <is>
          <t>Рупасов Михаил Иванович</t>
        </is>
      </c>
      <c r="D6" t="inlineStr">
        <is>
          <t>4 Д</t>
        </is>
      </c>
      <c r="E6">
        <f>COUNTIF(A:A, "4 Д")</f>
        <v/>
      </c>
    </row>
    <row r="7">
      <c r="D7" t="inlineStr">
        <is>
          <t>5 А</t>
        </is>
      </c>
      <c r="E7">
        <f>COUNTIF(A:A, "5 А")</f>
        <v/>
      </c>
    </row>
    <row r="8">
      <c r="D8" t="inlineStr">
        <is>
          <t>5 Б</t>
        </is>
      </c>
      <c r="E8">
        <f>COUNTIF(A:A, "5 Б")</f>
        <v/>
      </c>
    </row>
    <row r="9">
      <c r="D9" t="inlineStr">
        <is>
          <t>5 В</t>
        </is>
      </c>
      <c r="E9">
        <f>COUNTIF(A:A, "5 В")</f>
        <v/>
      </c>
    </row>
    <row r="10">
      <c r="D10" t="inlineStr">
        <is>
          <t>5 Г</t>
        </is>
      </c>
      <c r="E10">
        <f>COUNTIF(A:A, "5 Г")</f>
        <v/>
      </c>
    </row>
    <row r="11">
      <c r="D11" t="inlineStr">
        <is>
          <t>5 Д</t>
        </is>
      </c>
      <c r="E11">
        <f>COUNTIF(A:A, "5 Д")</f>
        <v/>
      </c>
    </row>
    <row r="12">
      <c r="D12" t="inlineStr">
        <is>
          <t>6 А</t>
        </is>
      </c>
      <c r="E12">
        <f>COUNTIF(A:A, "6 А")</f>
        <v/>
      </c>
    </row>
    <row r="13">
      <c r="D13" t="inlineStr">
        <is>
          <t>6 Б</t>
        </is>
      </c>
      <c r="E13">
        <f>COUNTIF(A:A, "6 Б")</f>
        <v/>
      </c>
    </row>
    <row r="14">
      <c r="D14" t="inlineStr">
        <is>
          <t>6 В</t>
        </is>
      </c>
      <c r="E14">
        <f>COUNTIF(A:A, "6 В")</f>
        <v/>
      </c>
    </row>
    <row r="15">
      <c r="D15" t="inlineStr">
        <is>
          <t>6 Г</t>
        </is>
      </c>
      <c r="E15">
        <f>COUNTIF(A:A, "6 Г")</f>
        <v/>
      </c>
    </row>
    <row r="16">
      <c r="D16" t="inlineStr">
        <is>
          <t>6 Д</t>
        </is>
      </c>
      <c r="E16">
        <f>COUNTIF(A:A, "6 Д")</f>
        <v/>
      </c>
    </row>
    <row r="17">
      <c r="D17" t="inlineStr">
        <is>
          <t>7 А</t>
        </is>
      </c>
      <c r="E17">
        <f>COUNTIF(A:A, "7 А")</f>
        <v/>
      </c>
    </row>
    <row r="18">
      <c r="D18" t="inlineStr">
        <is>
          <t>7 Б</t>
        </is>
      </c>
      <c r="E18">
        <f>COUNTIF(A:A, "7 Б")</f>
        <v/>
      </c>
    </row>
    <row r="19">
      <c r="D19" t="inlineStr">
        <is>
          <t>7 В</t>
        </is>
      </c>
      <c r="E19">
        <f>COUNTIF(A:A, "7 В")</f>
        <v/>
      </c>
    </row>
    <row r="20">
      <c r="D20" t="inlineStr">
        <is>
          <t>7 Г</t>
        </is>
      </c>
      <c r="E20">
        <f>COUNTIF(A:A, "7 Г")</f>
        <v/>
      </c>
    </row>
    <row r="21">
      <c r="D21" t="inlineStr">
        <is>
          <t>8 А</t>
        </is>
      </c>
      <c r="E21">
        <f>COUNTIF(A:A, "8 А")</f>
        <v/>
      </c>
    </row>
    <row r="22">
      <c r="D22" t="inlineStr">
        <is>
          <t>8 Б</t>
        </is>
      </c>
      <c r="E22">
        <f>COUNTIF(A:A, "8 Б")</f>
        <v/>
      </c>
    </row>
    <row r="23">
      <c r="D23" t="inlineStr">
        <is>
          <t>8 В</t>
        </is>
      </c>
      <c r="E23">
        <f>COUNTIF(A:A, "8 В")</f>
        <v/>
      </c>
    </row>
    <row r="24">
      <c r="D24" t="inlineStr">
        <is>
          <t>9 А</t>
        </is>
      </c>
      <c r="E24">
        <f>COUNTIF(A:A, "9 А")</f>
        <v/>
      </c>
    </row>
    <row r="25">
      <c r="D25" t="inlineStr">
        <is>
          <t>9 Б</t>
        </is>
      </c>
      <c r="E25">
        <f>COUNTIF(A:A, "9 Б")</f>
        <v/>
      </c>
    </row>
    <row r="26">
      <c r="D26" t="inlineStr">
        <is>
          <t>9 В</t>
        </is>
      </c>
      <c r="E26">
        <f>COUNTIF(A:A, "9 В")</f>
        <v/>
      </c>
    </row>
    <row r="27">
      <c r="D27" t="inlineStr">
        <is>
          <t>9 Г</t>
        </is>
      </c>
      <c r="E27">
        <f>COUNTIF(A:A, "9 Г")</f>
        <v/>
      </c>
    </row>
    <row r="28">
      <c r="D28" t="inlineStr">
        <is>
          <t>10 А</t>
        </is>
      </c>
      <c r="E28">
        <f>COUNTIF(A:A, "10 А")</f>
        <v/>
      </c>
    </row>
    <row r="29">
      <c r="D29" t="inlineStr">
        <is>
          <t>10 Б</t>
        </is>
      </c>
      <c r="E29">
        <f>COUNTIF(A:A, "10 Б")</f>
        <v/>
      </c>
    </row>
    <row r="30">
      <c r="D30" t="inlineStr">
        <is>
          <t>11 А</t>
        </is>
      </c>
      <c r="E30">
        <f>COUNTIF(A:A, "11 А")</f>
        <v/>
      </c>
    </row>
    <row r="31">
      <c r="D31" t="inlineStr">
        <is>
          <t>11 Б</t>
        </is>
      </c>
      <c r="E31">
        <f>COUNTIF(A:A, "11 Б")</f>
        <v/>
      </c>
    </row>
    <row r="32">
      <c r="D32" s="1" t="inlineStr">
        <is>
          <t xml:space="preserve">Всего: </t>
        </is>
      </c>
      <c r="E32">
        <f>SUM(E2:E31)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50" customWidth="1" min="2" max="2"/>
  </cols>
  <sheetData>
    <row r="1">
      <c r="A1" s="1" t="inlineStr">
        <is>
          <t>Класс</t>
        </is>
      </c>
      <c r="B1" s="1" t="inlineStr">
        <is>
          <t>Ученик</t>
        </is>
      </c>
      <c r="D1" s="1" t="inlineStr">
        <is>
          <t>Класс</t>
        </is>
      </c>
      <c r="E1" s="1" t="inlineStr">
        <is>
          <t>Кол-во</t>
        </is>
      </c>
    </row>
    <row r="2">
      <c r="A2" t="inlineStr">
        <is>
          <t>10 А</t>
        </is>
      </c>
      <c r="B2" t="inlineStr">
        <is>
          <t>Николаев Владислав Денисович</t>
        </is>
      </c>
      <c r="D2" t="inlineStr">
        <is>
          <t>4 А</t>
        </is>
      </c>
      <c r="E2">
        <f>COUNTIF(A:A, "4 А")</f>
        <v/>
      </c>
    </row>
    <row r="3">
      <c r="A3" t="inlineStr">
        <is>
          <t>10 А</t>
        </is>
      </c>
      <c r="B3" t="inlineStr">
        <is>
          <t>Рабчевский Владимир Дмитриевич</t>
        </is>
      </c>
      <c r="D3" t="inlineStr">
        <is>
          <t>4 Б</t>
        </is>
      </c>
      <c r="E3">
        <f>COUNTIF(A:A, "4 Б")</f>
        <v/>
      </c>
    </row>
    <row r="4">
      <c r="A4" t="inlineStr">
        <is>
          <t>10 А</t>
        </is>
      </c>
      <c r="B4" t="inlineStr">
        <is>
          <t>Рупасов Михаил Иванович</t>
        </is>
      </c>
      <c r="D4" t="inlineStr">
        <is>
          <t>4 В</t>
        </is>
      </c>
      <c r="E4">
        <f>COUNTIF(A:A, "4 В")</f>
        <v/>
      </c>
    </row>
    <row r="5">
      <c r="D5" t="inlineStr">
        <is>
          <t>4 Г</t>
        </is>
      </c>
      <c r="E5">
        <f>COUNTIF(A:A, "4 Г")</f>
        <v/>
      </c>
    </row>
    <row r="6">
      <c r="D6" t="inlineStr">
        <is>
          <t>4 Д</t>
        </is>
      </c>
      <c r="E6">
        <f>COUNTIF(A:A, "4 Д")</f>
        <v/>
      </c>
    </row>
    <row r="7">
      <c r="D7" t="inlineStr">
        <is>
          <t>5 А</t>
        </is>
      </c>
      <c r="E7">
        <f>COUNTIF(A:A, "5 А")</f>
        <v/>
      </c>
    </row>
    <row r="8">
      <c r="D8" t="inlineStr">
        <is>
          <t>5 Б</t>
        </is>
      </c>
      <c r="E8">
        <f>COUNTIF(A:A, "5 Б")</f>
        <v/>
      </c>
    </row>
    <row r="9">
      <c r="D9" t="inlineStr">
        <is>
          <t>5 В</t>
        </is>
      </c>
      <c r="E9">
        <f>COUNTIF(A:A, "5 В")</f>
        <v/>
      </c>
    </row>
    <row r="10">
      <c r="D10" t="inlineStr">
        <is>
          <t>5 Г</t>
        </is>
      </c>
      <c r="E10">
        <f>COUNTIF(A:A, "5 Г")</f>
        <v/>
      </c>
    </row>
    <row r="11">
      <c r="D11" t="inlineStr">
        <is>
          <t>5 Д</t>
        </is>
      </c>
      <c r="E11">
        <f>COUNTIF(A:A, "5 Д")</f>
        <v/>
      </c>
    </row>
    <row r="12">
      <c r="D12" t="inlineStr">
        <is>
          <t>6 А</t>
        </is>
      </c>
      <c r="E12">
        <f>COUNTIF(A:A, "6 А")</f>
        <v/>
      </c>
    </row>
    <row r="13">
      <c r="D13" t="inlineStr">
        <is>
          <t>6 Б</t>
        </is>
      </c>
      <c r="E13">
        <f>COUNTIF(A:A, "6 Б")</f>
        <v/>
      </c>
    </row>
    <row r="14">
      <c r="D14" t="inlineStr">
        <is>
          <t>6 В</t>
        </is>
      </c>
      <c r="E14">
        <f>COUNTIF(A:A, "6 В")</f>
        <v/>
      </c>
    </row>
    <row r="15">
      <c r="D15" t="inlineStr">
        <is>
          <t>6 Г</t>
        </is>
      </c>
      <c r="E15">
        <f>COUNTIF(A:A, "6 Г")</f>
        <v/>
      </c>
    </row>
    <row r="16">
      <c r="D16" t="inlineStr">
        <is>
          <t>6 Д</t>
        </is>
      </c>
      <c r="E16">
        <f>COUNTIF(A:A, "6 Д")</f>
        <v/>
      </c>
    </row>
    <row r="17">
      <c r="D17" t="inlineStr">
        <is>
          <t>7 А</t>
        </is>
      </c>
      <c r="E17">
        <f>COUNTIF(A:A, "7 А")</f>
        <v/>
      </c>
    </row>
    <row r="18">
      <c r="D18" t="inlineStr">
        <is>
          <t>7 Б</t>
        </is>
      </c>
      <c r="E18">
        <f>COUNTIF(A:A, "7 Б")</f>
        <v/>
      </c>
    </row>
    <row r="19">
      <c r="D19" t="inlineStr">
        <is>
          <t>7 В</t>
        </is>
      </c>
      <c r="E19">
        <f>COUNTIF(A:A, "7 В")</f>
        <v/>
      </c>
    </row>
    <row r="20">
      <c r="D20" t="inlineStr">
        <is>
          <t>7 Г</t>
        </is>
      </c>
      <c r="E20">
        <f>COUNTIF(A:A, "7 Г")</f>
        <v/>
      </c>
    </row>
    <row r="21">
      <c r="D21" t="inlineStr">
        <is>
          <t>8 А</t>
        </is>
      </c>
      <c r="E21">
        <f>COUNTIF(A:A, "8 А")</f>
        <v/>
      </c>
    </row>
    <row r="22">
      <c r="D22" t="inlineStr">
        <is>
          <t>8 Б</t>
        </is>
      </c>
      <c r="E22">
        <f>COUNTIF(A:A, "8 Б")</f>
        <v/>
      </c>
    </row>
    <row r="23">
      <c r="D23" t="inlineStr">
        <is>
          <t>8 В</t>
        </is>
      </c>
      <c r="E23">
        <f>COUNTIF(A:A, "8 В")</f>
        <v/>
      </c>
    </row>
    <row r="24">
      <c r="D24" t="inlineStr">
        <is>
          <t>9 А</t>
        </is>
      </c>
      <c r="E24">
        <f>COUNTIF(A:A, "9 А")</f>
        <v/>
      </c>
    </row>
    <row r="25">
      <c r="D25" t="inlineStr">
        <is>
          <t>9 Б</t>
        </is>
      </c>
      <c r="E25">
        <f>COUNTIF(A:A, "9 Б")</f>
        <v/>
      </c>
    </row>
    <row r="26">
      <c r="D26" t="inlineStr">
        <is>
          <t>9 В</t>
        </is>
      </c>
      <c r="E26">
        <f>COUNTIF(A:A, "9 В")</f>
        <v/>
      </c>
    </row>
    <row r="27">
      <c r="D27" t="inlineStr">
        <is>
          <t>9 Г</t>
        </is>
      </c>
      <c r="E27">
        <f>COUNTIF(A:A, "9 Г")</f>
        <v/>
      </c>
    </row>
    <row r="28">
      <c r="D28" t="inlineStr">
        <is>
          <t>10 А</t>
        </is>
      </c>
      <c r="E28">
        <f>COUNTIF(A:A, "10 А")</f>
        <v/>
      </c>
    </row>
    <row r="29">
      <c r="D29" t="inlineStr">
        <is>
          <t>10 Б</t>
        </is>
      </c>
      <c r="E29">
        <f>COUNTIF(A:A, "10 Б")</f>
        <v/>
      </c>
    </row>
    <row r="30">
      <c r="D30" t="inlineStr">
        <is>
          <t>11 А</t>
        </is>
      </c>
      <c r="E30">
        <f>COUNTIF(A:A, "11 А")</f>
        <v/>
      </c>
    </row>
    <row r="31">
      <c r="D31" t="inlineStr">
        <is>
          <t>11 Б</t>
        </is>
      </c>
      <c r="E31">
        <f>COUNTIF(A:A, "11 Б")</f>
        <v/>
      </c>
    </row>
    <row r="32">
      <c r="D32" s="1" t="inlineStr">
        <is>
          <t xml:space="preserve">Всего: </t>
        </is>
      </c>
      <c r="E32">
        <f>SUM(E2:E31)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50" customWidth="1" min="2" max="2"/>
  </cols>
  <sheetData>
    <row r="1">
      <c r="A1" s="1" t="inlineStr">
        <is>
          <t>Класс</t>
        </is>
      </c>
      <c r="B1" s="1" t="inlineStr">
        <is>
          <t>Ученик</t>
        </is>
      </c>
      <c r="D1" s="1" t="inlineStr">
        <is>
          <t>Класс</t>
        </is>
      </c>
      <c r="E1" s="1" t="inlineStr">
        <is>
          <t>Кол-во</t>
        </is>
      </c>
    </row>
    <row r="2">
      <c r="A2" t="inlineStr">
        <is>
          <t>10 А</t>
        </is>
      </c>
      <c r="B2" t="inlineStr">
        <is>
          <t>Островецкий Иван Александрович</t>
        </is>
      </c>
      <c r="D2" t="inlineStr">
        <is>
          <t>4 А</t>
        </is>
      </c>
      <c r="E2">
        <f>COUNTIF(A:A, "4 А")</f>
        <v/>
      </c>
    </row>
    <row r="3">
      <c r="A3" t="inlineStr">
        <is>
          <t>10 А</t>
        </is>
      </c>
      <c r="B3" t="inlineStr">
        <is>
          <t>Рабчевский Владимир Дмитриевич</t>
        </is>
      </c>
      <c r="D3" t="inlineStr">
        <is>
          <t>4 Б</t>
        </is>
      </c>
      <c r="E3">
        <f>COUNTIF(A:A, "4 Б")</f>
        <v/>
      </c>
    </row>
    <row r="4">
      <c r="A4" t="inlineStr">
        <is>
          <t>10 А</t>
        </is>
      </c>
      <c r="B4" t="inlineStr">
        <is>
          <t>Рупасов Михаил Иванович</t>
        </is>
      </c>
      <c r="D4" t="inlineStr">
        <is>
          <t>4 В</t>
        </is>
      </c>
      <c r="E4">
        <f>COUNTIF(A:A, "4 В")</f>
        <v/>
      </c>
    </row>
    <row r="5">
      <c r="A5" t="inlineStr">
        <is>
          <t>10 А</t>
        </is>
      </c>
      <c r="B5" t="inlineStr">
        <is>
          <t>Ручьев Яков Максимович</t>
        </is>
      </c>
      <c r="D5" t="inlineStr">
        <is>
          <t>4 Г</t>
        </is>
      </c>
      <c r="E5">
        <f>COUNTIF(A:A, "4 Г")</f>
        <v/>
      </c>
    </row>
    <row r="6">
      <c r="A6" t="inlineStr">
        <is>
          <t>10 А</t>
        </is>
      </c>
      <c r="B6" t="inlineStr">
        <is>
          <t>Рыжакова Софья Дмитриевна</t>
        </is>
      </c>
      <c r="D6" t="inlineStr">
        <is>
          <t>4 Д</t>
        </is>
      </c>
      <c r="E6">
        <f>COUNTIF(A:A, "4 Д")</f>
        <v/>
      </c>
    </row>
    <row r="7">
      <c r="D7" t="inlineStr">
        <is>
          <t>5 А</t>
        </is>
      </c>
      <c r="E7">
        <f>COUNTIF(A:A, "5 А")</f>
        <v/>
      </c>
    </row>
    <row r="8">
      <c r="D8" t="inlineStr">
        <is>
          <t>5 Б</t>
        </is>
      </c>
      <c r="E8">
        <f>COUNTIF(A:A, "5 Б")</f>
        <v/>
      </c>
    </row>
    <row r="9">
      <c r="D9" t="inlineStr">
        <is>
          <t>5 В</t>
        </is>
      </c>
      <c r="E9">
        <f>COUNTIF(A:A, "5 В")</f>
        <v/>
      </c>
    </row>
    <row r="10">
      <c r="D10" t="inlineStr">
        <is>
          <t>5 Г</t>
        </is>
      </c>
      <c r="E10">
        <f>COUNTIF(A:A, "5 Г")</f>
        <v/>
      </c>
    </row>
    <row r="11">
      <c r="D11" t="inlineStr">
        <is>
          <t>5 Д</t>
        </is>
      </c>
      <c r="E11">
        <f>COUNTIF(A:A, "5 Д")</f>
        <v/>
      </c>
    </row>
    <row r="12">
      <c r="D12" t="inlineStr">
        <is>
          <t>6 А</t>
        </is>
      </c>
      <c r="E12">
        <f>COUNTIF(A:A, "6 А")</f>
        <v/>
      </c>
    </row>
    <row r="13">
      <c r="D13" t="inlineStr">
        <is>
          <t>6 Б</t>
        </is>
      </c>
      <c r="E13">
        <f>COUNTIF(A:A, "6 Б")</f>
        <v/>
      </c>
    </row>
    <row r="14">
      <c r="D14" t="inlineStr">
        <is>
          <t>6 В</t>
        </is>
      </c>
      <c r="E14">
        <f>COUNTIF(A:A, "6 В")</f>
        <v/>
      </c>
    </row>
    <row r="15">
      <c r="D15" t="inlineStr">
        <is>
          <t>6 Г</t>
        </is>
      </c>
      <c r="E15">
        <f>COUNTIF(A:A, "6 Г")</f>
        <v/>
      </c>
    </row>
    <row r="16">
      <c r="D16" t="inlineStr">
        <is>
          <t>6 Д</t>
        </is>
      </c>
      <c r="E16">
        <f>COUNTIF(A:A, "6 Д")</f>
        <v/>
      </c>
    </row>
    <row r="17">
      <c r="D17" t="inlineStr">
        <is>
          <t>7 А</t>
        </is>
      </c>
      <c r="E17">
        <f>COUNTIF(A:A, "7 А")</f>
        <v/>
      </c>
    </row>
    <row r="18">
      <c r="D18" t="inlineStr">
        <is>
          <t>7 Б</t>
        </is>
      </c>
      <c r="E18">
        <f>COUNTIF(A:A, "7 Б")</f>
        <v/>
      </c>
    </row>
    <row r="19">
      <c r="D19" t="inlineStr">
        <is>
          <t>7 В</t>
        </is>
      </c>
      <c r="E19">
        <f>COUNTIF(A:A, "7 В")</f>
        <v/>
      </c>
    </row>
    <row r="20">
      <c r="D20" t="inlineStr">
        <is>
          <t>7 Г</t>
        </is>
      </c>
      <c r="E20">
        <f>COUNTIF(A:A, "7 Г")</f>
        <v/>
      </c>
    </row>
    <row r="21">
      <c r="D21" t="inlineStr">
        <is>
          <t>8 А</t>
        </is>
      </c>
      <c r="E21">
        <f>COUNTIF(A:A, "8 А")</f>
        <v/>
      </c>
    </row>
    <row r="22">
      <c r="D22" t="inlineStr">
        <is>
          <t>8 Б</t>
        </is>
      </c>
      <c r="E22">
        <f>COUNTIF(A:A, "8 Б")</f>
        <v/>
      </c>
    </row>
    <row r="23">
      <c r="D23" t="inlineStr">
        <is>
          <t>8 В</t>
        </is>
      </c>
      <c r="E23">
        <f>COUNTIF(A:A, "8 В")</f>
        <v/>
      </c>
    </row>
    <row r="24">
      <c r="D24" t="inlineStr">
        <is>
          <t>9 А</t>
        </is>
      </c>
      <c r="E24">
        <f>COUNTIF(A:A, "9 А")</f>
        <v/>
      </c>
    </row>
    <row r="25">
      <c r="D25" t="inlineStr">
        <is>
          <t>9 Б</t>
        </is>
      </c>
      <c r="E25">
        <f>COUNTIF(A:A, "9 Б")</f>
        <v/>
      </c>
    </row>
    <row r="26">
      <c r="D26" t="inlineStr">
        <is>
          <t>9 В</t>
        </is>
      </c>
      <c r="E26">
        <f>COUNTIF(A:A, "9 В")</f>
        <v/>
      </c>
    </row>
    <row r="27">
      <c r="D27" t="inlineStr">
        <is>
          <t>9 Г</t>
        </is>
      </c>
      <c r="E27">
        <f>COUNTIF(A:A, "9 Г")</f>
        <v/>
      </c>
    </row>
    <row r="28">
      <c r="D28" t="inlineStr">
        <is>
          <t>10 А</t>
        </is>
      </c>
      <c r="E28">
        <f>COUNTIF(A:A, "10 А")</f>
        <v/>
      </c>
    </row>
    <row r="29">
      <c r="D29" t="inlineStr">
        <is>
          <t>10 Б</t>
        </is>
      </c>
      <c r="E29">
        <f>COUNTIF(A:A, "10 Б")</f>
        <v/>
      </c>
    </row>
    <row r="30">
      <c r="D30" t="inlineStr">
        <is>
          <t>11 А</t>
        </is>
      </c>
      <c r="E30">
        <f>COUNTIF(A:A, "11 А")</f>
        <v/>
      </c>
    </row>
    <row r="31">
      <c r="D31" t="inlineStr">
        <is>
          <t>11 Б</t>
        </is>
      </c>
      <c r="E31">
        <f>COUNTIF(A:A, "11 Б")</f>
        <v/>
      </c>
    </row>
    <row r="32">
      <c r="D32" s="1" t="inlineStr">
        <is>
          <t xml:space="preserve">Всего: </t>
        </is>
      </c>
      <c r="E32">
        <f>SUM(E2:E31)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50" customWidth="1" min="2" max="2"/>
  </cols>
  <sheetData>
    <row r="1">
      <c r="A1" s="1" t="inlineStr">
        <is>
          <t>Класс</t>
        </is>
      </c>
      <c r="B1" s="1" t="inlineStr">
        <is>
          <t>Ученик</t>
        </is>
      </c>
      <c r="D1" s="1" t="inlineStr">
        <is>
          <t>Класс</t>
        </is>
      </c>
      <c r="E1" s="1" t="inlineStr">
        <is>
          <t>Кол-во</t>
        </is>
      </c>
    </row>
    <row r="2">
      <c r="A2" t="inlineStr">
        <is>
          <t>10 А</t>
        </is>
      </c>
      <c r="B2" t="inlineStr">
        <is>
          <t>Островецкий Иван Александрович</t>
        </is>
      </c>
      <c r="D2" t="inlineStr">
        <is>
          <t>4 А</t>
        </is>
      </c>
      <c r="E2">
        <f>COUNTIF(A:A, "4 А")</f>
        <v/>
      </c>
    </row>
    <row r="3">
      <c r="A3" t="inlineStr">
        <is>
          <t>10 А</t>
        </is>
      </c>
      <c r="B3" t="inlineStr">
        <is>
          <t>Ручьев Яков Максимович</t>
        </is>
      </c>
      <c r="D3" t="inlineStr">
        <is>
          <t>4 Б</t>
        </is>
      </c>
      <c r="E3">
        <f>COUNTIF(A:A, "4 Б")</f>
        <v/>
      </c>
    </row>
    <row r="4">
      <c r="A4" t="inlineStr">
        <is>
          <t>10 А</t>
        </is>
      </c>
      <c r="B4" t="inlineStr">
        <is>
          <t>Садов Никита Александрович</t>
        </is>
      </c>
      <c r="D4" t="inlineStr">
        <is>
          <t>4 В</t>
        </is>
      </c>
      <c r="E4">
        <f>COUNTIF(A:A, "4 В")</f>
        <v/>
      </c>
    </row>
    <row r="5">
      <c r="D5" t="inlineStr">
        <is>
          <t>4 Г</t>
        </is>
      </c>
      <c r="E5">
        <f>COUNTIF(A:A, "4 Г")</f>
        <v/>
      </c>
    </row>
    <row r="6">
      <c r="D6" t="inlineStr">
        <is>
          <t>4 Д</t>
        </is>
      </c>
      <c r="E6">
        <f>COUNTIF(A:A, "4 Д")</f>
        <v/>
      </c>
    </row>
    <row r="7">
      <c r="D7" t="inlineStr">
        <is>
          <t>5 А</t>
        </is>
      </c>
      <c r="E7">
        <f>COUNTIF(A:A, "5 А")</f>
        <v/>
      </c>
    </row>
    <row r="8">
      <c r="D8" t="inlineStr">
        <is>
          <t>5 Б</t>
        </is>
      </c>
      <c r="E8">
        <f>COUNTIF(A:A, "5 Б")</f>
        <v/>
      </c>
    </row>
    <row r="9">
      <c r="D9" t="inlineStr">
        <is>
          <t>5 В</t>
        </is>
      </c>
      <c r="E9">
        <f>COUNTIF(A:A, "5 В")</f>
        <v/>
      </c>
    </row>
    <row r="10">
      <c r="D10" t="inlineStr">
        <is>
          <t>5 Г</t>
        </is>
      </c>
      <c r="E10">
        <f>COUNTIF(A:A, "5 Г")</f>
        <v/>
      </c>
    </row>
    <row r="11">
      <c r="D11" t="inlineStr">
        <is>
          <t>5 Д</t>
        </is>
      </c>
      <c r="E11">
        <f>COUNTIF(A:A, "5 Д")</f>
        <v/>
      </c>
    </row>
    <row r="12">
      <c r="D12" t="inlineStr">
        <is>
          <t>6 А</t>
        </is>
      </c>
      <c r="E12">
        <f>COUNTIF(A:A, "6 А")</f>
        <v/>
      </c>
    </row>
    <row r="13">
      <c r="D13" t="inlineStr">
        <is>
          <t>6 Б</t>
        </is>
      </c>
      <c r="E13">
        <f>COUNTIF(A:A, "6 Б")</f>
        <v/>
      </c>
    </row>
    <row r="14">
      <c r="D14" t="inlineStr">
        <is>
          <t>6 В</t>
        </is>
      </c>
      <c r="E14">
        <f>COUNTIF(A:A, "6 В")</f>
        <v/>
      </c>
    </row>
    <row r="15">
      <c r="D15" t="inlineStr">
        <is>
          <t>6 Г</t>
        </is>
      </c>
      <c r="E15">
        <f>COUNTIF(A:A, "6 Г")</f>
        <v/>
      </c>
    </row>
    <row r="16">
      <c r="D16" t="inlineStr">
        <is>
          <t>6 Д</t>
        </is>
      </c>
      <c r="E16">
        <f>COUNTIF(A:A, "6 Д")</f>
        <v/>
      </c>
    </row>
    <row r="17">
      <c r="D17" t="inlineStr">
        <is>
          <t>7 А</t>
        </is>
      </c>
      <c r="E17">
        <f>COUNTIF(A:A, "7 А")</f>
        <v/>
      </c>
    </row>
    <row r="18">
      <c r="D18" t="inlineStr">
        <is>
          <t>7 Б</t>
        </is>
      </c>
      <c r="E18">
        <f>COUNTIF(A:A, "7 Б")</f>
        <v/>
      </c>
    </row>
    <row r="19">
      <c r="D19" t="inlineStr">
        <is>
          <t>7 В</t>
        </is>
      </c>
      <c r="E19">
        <f>COUNTIF(A:A, "7 В")</f>
        <v/>
      </c>
    </row>
    <row r="20">
      <c r="D20" t="inlineStr">
        <is>
          <t>7 Г</t>
        </is>
      </c>
      <c r="E20">
        <f>COUNTIF(A:A, "7 Г")</f>
        <v/>
      </c>
    </row>
    <row r="21">
      <c r="D21" t="inlineStr">
        <is>
          <t>8 А</t>
        </is>
      </c>
      <c r="E21">
        <f>COUNTIF(A:A, "8 А")</f>
        <v/>
      </c>
    </row>
    <row r="22">
      <c r="D22" t="inlineStr">
        <is>
          <t>8 Б</t>
        </is>
      </c>
      <c r="E22">
        <f>COUNTIF(A:A, "8 Б")</f>
        <v/>
      </c>
    </row>
    <row r="23">
      <c r="D23" t="inlineStr">
        <is>
          <t>8 В</t>
        </is>
      </c>
      <c r="E23">
        <f>COUNTIF(A:A, "8 В")</f>
        <v/>
      </c>
    </row>
    <row r="24">
      <c r="D24" t="inlineStr">
        <is>
          <t>9 А</t>
        </is>
      </c>
      <c r="E24">
        <f>COUNTIF(A:A, "9 А")</f>
        <v/>
      </c>
    </row>
    <row r="25">
      <c r="D25" t="inlineStr">
        <is>
          <t>9 Б</t>
        </is>
      </c>
      <c r="E25">
        <f>COUNTIF(A:A, "9 Б")</f>
        <v/>
      </c>
    </row>
    <row r="26">
      <c r="D26" t="inlineStr">
        <is>
          <t>9 В</t>
        </is>
      </c>
      <c r="E26">
        <f>COUNTIF(A:A, "9 В")</f>
        <v/>
      </c>
    </row>
    <row r="27">
      <c r="D27" t="inlineStr">
        <is>
          <t>9 Г</t>
        </is>
      </c>
      <c r="E27">
        <f>COUNTIF(A:A, "9 Г")</f>
        <v/>
      </c>
    </row>
    <row r="28">
      <c r="D28" t="inlineStr">
        <is>
          <t>10 А</t>
        </is>
      </c>
      <c r="E28">
        <f>COUNTIF(A:A, "10 А")</f>
        <v/>
      </c>
    </row>
    <row r="29">
      <c r="D29" t="inlineStr">
        <is>
          <t>10 Б</t>
        </is>
      </c>
      <c r="E29">
        <f>COUNTIF(A:A, "10 Б")</f>
        <v/>
      </c>
    </row>
    <row r="30">
      <c r="D30" t="inlineStr">
        <is>
          <t>11 А</t>
        </is>
      </c>
      <c r="E30">
        <f>COUNTIF(A:A, "11 А")</f>
        <v/>
      </c>
    </row>
    <row r="31">
      <c r="D31" t="inlineStr">
        <is>
          <t>11 Б</t>
        </is>
      </c>
      <c r="E31">
        <f>COUNTIF(A:A, "11 Б")</f>
        <v/>
      </c>
    </row>
    <row r="32">
      <c r="D32" s="1" t="inlineStr">
        <is>
          <t xml:space="preserve">Всего: </t>
        </is>
      </c>
      <c r="E32">
        <f>SUM(E2:E31)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50" customWidth="1" min="2" max="2"/>
  </cols>
  <sheetData>
    <row r="1">
      <c r="A1" s="1" t="inlineStr">
        <is>
          <t>Класс</t>
        </is>
      </c>
      <c r="B1" s="1" t="inlineStr">
        <is>
          <t>Ученик</t>
        </is>
      </c>
      <c r="D1" s="1" t="inlineStr">
        <is>
          <t>Класс</t>
        </is>
      </c>
      <c r="E1" s="1" t="inlineStr">
        <is>
          <t>Кол-во</t>
        </is>
      </c>
    </row>
    <row r="2">
      <c r="A2" t="inlineStr">
        <is>
          <t>10 А</t>
        </is>
      </c>
      <c r="B2" t="inlineStr">
        <is>
          <t>Островецкий Иван Александрович</t>
        </is>
      </c>
      <c r="D2" t="inlineStr">
        <is>
          <t>4 А</t>
        </is>
      </c>
      <c r="E2">
        <f>COUNTIF(A:A, "4 А")</f>
        <v/>
      </c>
    </row>
    <row r="3">
      <c r="A3" t="inlineStr">
        <is>
          <t>10 А</t>
        </is>
      </c>
      <c r="B3" t="inlineStr">
        <is>
          <t>Рупасов Михаил Иванович</t>
        </is>
      </c>
      <c r="D3" t="inlineStr">
        <is>
          <t>4 Б</t>
        </is>
      </c>
      <c r="E3">
        <f>COUNTIF(A:A, "4 Б")</f>
        <v/>
      </c>
    </row>
    <row r="4">
      <c r="A4" t="inlineStr">
        <is>
          <t>10 А</t>
        </is>
      </c>
      <c r="B4" t="inlineStr">
        <is>
          <t>Рыжакова Софья Дмитриевна</t>
        </is>
      </c>
      <c r="D4" t="inlineStr">
        <is>
          <t>4 В</t>
        </is>
      </c>
      <c r="E4">
        <f>COUNTIF(A:A, "4 В")</f>
        <v/>
      </c>
    </row>
    <row r="5">
      <c r="A5" t="inlineStr">
        <is>
          <t>10 А</t>
        </is>
      </c>
      <c r="B5" t="inlineStr">
        <is>
          <t>Серина Дарья Сергеевна</t>
        </is>
      </c>
      <c r="D5" t="inlineStr">
        <is>
          <t>4 Г</t>
        </is>
      </c>
      <c r="E5">
        <f>COUNTIF(A:A, "4 Г")</f>
        <v/>
      </c>
    </row>
    <row r="6">
      <c r="D6" t="inlineStr">
        <is>
          <t>4 Д</t>
        </is>
      </c>
      <c r="E6">
        <f>COUNTIF(A:A, "4 Д")</f>
        <v/>
      </c>
    </row>
    <row r="7">
      <c r="D7" t="inlineStr">
        <is>
          <t>5 А</t>
        </is>
      </c>
      <c r="E7">
        <f>COUNTIF(A:A, "5 А")</f>
        <v/>
      </c>
    </row>
    <row r="8">
      <c r="D8" t="inlineStr">
        <is>
          <t>5 Б</t>
        </is>
      </c>
      <c r="E8">
        <f>COUNTIF(A:A, "5 Б")</f>
        <v/>
      </c>
    </row>
    <row r="9">
      <c r="D9" t="inlineStr">
        <is>
          <t>5 В</t>
        </is>
      </c>
      <c r="E9">
        <f>COUNTIF(A:A, "5 В")</f>
        <v/>
      </c>
    </row>
    <row r="10">
      <c r="D10" t="inlineStr">
        <is>
          <t>5 Г</t>
        </is>
      </c>
      <c r="E10">
        <f>COUNTIF(A:A, "5 Г")</f>
        <v/>
      </c>
    </row>
    <row r="11">
      <c r="D11" t="inlineStr">
        <is>
          <t>5 Д</t>
        </is>
      </c>
      <c r="E11">
        <f>COUNTIF(A:A, "5 Д")</f>
        <v/>
      </c>
    </row>
    <row r="12">
      <c r="D12" t="inlineStr">
        <is>
          <t>6 А</t>
        </is>
      </c>
      <c r="E12">
        <f>COUNTIF(A:A, "6 А")</f>
        <v/>
      </c>
    </row>
    <row r="13">
      <c r="D13" t="inlineStr">
        <is>
          <t>6 Б</t>
        </is>
      </c>
      <c r="E13">
        <f>COUNTIF(A:A, "6 Б")</f>
        <v/>
      </c>
    </row>
    <row r="14">
      <c r="D14" t="inlineStr">
        <is>
          <t>6 В</t>
        </is>
      </c>
      <c r="E14">
        <f>COUNTIF(A:A, "6 В")</f>
        <v/>
      </c>
    </row>
    <row r="15">
      <c r="D15" t="inlineStr">
        <is>
          <t>6 Г</t>
        </is>
      </c>
      <c r="E15">
        <f>COUNTIF(A:A, "6 Г")</f>
        <v/>
      </c>
    </row>
    <row r="16">
      <c r="D16" t="inlineStr">
        <is>
          <t>6 Д</t>
        </is>
      </c>
      <c r="E16">
        <f>COUNTIF(A:A, "6 Д")</f>
        <v/>
      </c>
    </row>
    <row r="17">
      <c r="D17" t="inlineStr">
        <is>
          <t>7 А</t>
        </is>
      </c>
      <c r="E17">
        <f>COUNTIF(A:A, "7 А")</f>
        <v/>
      </c>
    </row>
    <row r="18">
      <c r="D18" t="inlineStr">
        <is>
          <t>7 Б</t>
        </is>
      </c>
      <c r="E18">
        <f>COUNTIF(A:A, "7 Б")</f>
        <v/>
      </c>
    </row>
    <row r="19">
      <c r="D19" t="inlineStr">
        <is>
          <t>7 В</t>
        </is>
      </c>
      <c r="E19">
        <f>COUNTIF(A:A, "7 В")</f>
        <v/>
      </c>
    </row>
    <row r="20">
      <c r="D20" t="inlineStr">
        <is>
          <t>7 Г</t>
        </is>
      </c>
      <c r="E20">
        <f>COUNTIF(A:A, "7 Г")</f>
        <v/>
      </c>
    </row>
    <row r="21">
      <c r="D21" t="inlineStr">
        <is>
          <t>8 А</t>
        </is>
      </c>
      <c r="E21">
        <f>COUNTIF(A:A, "8 А")</f>
        <v/>
      </c>
    </row>
    <row r="22">
      <c r="D22" t="inlineStr">
        <is>
          <t>8 Б</t>
        </is>
      </c>
      <c r="E22">
        <f>COUNTIF(A:A, "8 Б")</f>
        <v/>
      </c>
    </row>
    <row r="23">
      <c r="D23" t="inlineStr">
        <is>
          <t>8 В</t>
        </is>
      </c>
      <c r="E23">
        <f>COUNTIF(A:A, "8 В")</f>
        <v/>
      </c>
    </row>
    <row r="24">
      <c r="D24" t="inlineStr">
        <is>
          <t>9 А</t>
        </is>
      </c>
      <c r="E24">
        <f>COUNTIF(A:A, "9 А")</f>
        <v/>
      </c>
    </row>
    <row r="25">
      <c r="D25" t="inlineStr">
        <is>
          <t>9 Б</t>
        </is>
      </c>
      <c r="E25">
        <f>COUNTIF(A:A, "9 Б")</f>
        <v/>
      </c>
    </row>
    <row r="26">
      <c r="D26" t="inlineStr">
        <is>
          <t>9 В</t>
        </is>
      </c>
      <c r="E26">
        <f>COUNTIF(A:A, "9 В")</f>
        <v/>
      </c>
    </row>
    <row r="27">
      <c r="D27" t="inlineStr">
        <is>
          <t>9 Г</t>
        </is>
      </c>
      <c r="E27">
        <f>COUNTIF(A:A, "9 Г")</f>
        <v/>
      </c>
    </row>
    <row r="28">
      <c r="D28" t="inlineStr">
        <is>
          <t>10 А</t>
        </is>
      </c>
      <c r="E28">
        <f>COUNTIF(A:A, "10 А")</f>
        <v/>
      </c>
    </row>
    <row r="29">
      <c r="D29" t="inlineStr">
        <is>
          <t>10 Б</t>
        </is>
      </c>
      <c r="E29">
        <f>COUNTIF(A:A, "10 Б")</f>
        <v/>
      </c>
    </row>
    <row r="30">
      <c r="D30" t="inlineStr">
        <is>
          <t>11 А</t>
        </is>
      </c>
      <c r="E30">
        <f>COUNTIF(A:A, "11 А")</f>
        <v/>
      </c>
    </row>
    <row r="31">
      <c r="D31" t="inlineStr">
        <is>
          <t>11 Б</t>
        </is>
      </c>
      <c r="E31">
        <f>COUNTIF(A:A, "11 Б")</f>
        <v/>
      </c>
    </row>
    <row r="32">
      <c r="D32" s="1" t="inlineStr">
        <is>
          <t xml:space="preserve">Всего: </t>
        </is>
      </c>
      <c r="E32">
        <f>SUM(E2:E31)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50" customWidth="1" min="2" max="2"/>
  </cols>
  <sheetData>
    <row r="1">
      <c r="A1" s="1" t="inlineStr">
        <is>
          <t>Класс</t>
        </is>
      </c>
      <c r="B1" s="1" t="inlineStr">
        <is>
          <t>Ученик</t>
        </is>
      </c>
      <c r="D1" s="1" t="inlineStr">
        <is>
          <t>Класс</t>
        </is>
      </c>
      <c r="E1" s="1" t="inlineStr">
        <is>
          <t>Кол-во</t>
        </is>
      </c>
    </row>
    <row r="2">
      <c r="A2" t="inlineStr">
        <is>
          <t>10 А</t>
        </is>
      </c>
      <c r="B2" t="inlineStr">
        <is>
          <t>РЫЖКОВА ПОЛИНА ИЛЬИНИЧНА</t>
        </is>
      </c>
      <c r="D2" t="inlineStr">
        <is>
          <t>4 А</t>
        </is>
      </c>
      <c r="E2">
        <f>COUNTIF(A:A, "4 А")</f>
        <v/>
      </c>
    </row>
    <row r="3">
      <c r="A3" t="inlineStr">
        <is>
          <t>10 А</t>
        </is>
      </c>
      <c r="B3" t="inlineStr">
        <is>
          <t>Садов Никита Александрович</t>
        </is>
      </c>
      <c r="D3" t="inlineStr">
        <is>
          <t>4 Б</t>
        </is>
      </c>
      <c r="E3">
        <f>COUNTIF(A:A, "4 Б")</f>
        <v/>
      </c>
    </row>
    <row r="4">
      <c r="A4" t="inlineStr">
        <is>
          <t>10 А</t>
        </is>
      </c>
      <c r="B4" t="inlineStr">
        <is>
          <t>Серина Дарья Сергеевна</t>
        </is>
      </c>
      <c r="D4" t="inlineStr">
        <is>
          <t>4 В</t>
        </is>
      </c>
      <c r="E4">
        <f>COUNTIF(A:A, "4 В")</f>
        <v/>
      </c>
    </row>
    <row r="5">
      <c r="A5" t="inlineStr">
        <is>
          <t>10 А</t>
        </is>
      </c>
      <c r="B5" t="inlineStr">
        <is>
          <t>Симанович Виктория Александровна</t>
        </is>
      </c>
      <c r="D5" t="inlineStr">
        <is>
          <t>4 Г</t>
        </is>
      </c>
      <c r="E5">
        <f>COUNTIF(A:A, "4 Г")</f>
        <v/>
      </c>
    </row>
    <row r="6">
      <c r="A6" t="inlineStr">
        <is>
          <t>10 А</t>
        </is>
      </c>
      <c r="B6" t="inlineStr">
        <is>
          <t>Смирнова Вероника Антоновна</t>
        </is>
      </c>
      <c r="D6" t="inlineStr">
        <is>
          <t>4 Д</t>
        </is>
      </c>
      <c r="E6">
        <f>COUNTIF(A:A, "4 Д")</f>
        <v/>
      </c>
    </row>
    <row r="7">
      <c r="D7" t="inlineStr">
        <is>
          <t>5 А</t>
        </is>
      </c>
      <c r="E7">
        <f>COUNTIF(A:A, "5 А")</f>
        <v/>
      </c>
    </row>
    <row r="8">
      <c r="D8" t="inlineStr">
        <is>
          <t>5 Б</t>
        </is>
      </c>
      <c r="E8">
        <f>COUNTIF(A:A, "5 Б")</f>
        <v/>
      </c>
    </row>
    <row r="9">
      <c r="D9" t="inlineStr">
        <is>
          <t>5 В</t>
        </is>
      </c>
      <c r="E9">
        <f>COUNTIF(A:A, "5 В")</f>
        <v/>
      </c>
    </row>
    <row r="10">
      <c r="D10" t="inlineStr">
        <is>
          <t>5 Г</t>
        </is>
      </c>
      <c r="E10">
        <f>COUNTIF(A:A, "5 Г")</f>
        <v/>
      </c>
    </row>
    <row r="11">
      <c r="D11" t="inlineStr">
        <is>
          <t>5 Д</t>
        </is>
      </c>
      <c r="E11">
        <f>COUNTIF(A:A, "5 Д")</f>
        <v/>
      </c>
    </row>
    <row r="12">
      <c r="D12" t="inlineStr">
        <is>
          <t>6 А</t>
        </is>
      </c>
      <c r="E12">
        <f>COUNTIF(A:A, "6 А")</f>
        <v/>
      </c>
    </row>
    <row r="13">
      <c r="D13" t="inlineStr">
        <is>
          <t>6 Б</t>
        </is>
      </c>
      <c r="E13">
        <f>COUNTIF(A:A, "6 Б")</f>
        <v/>
      </c>
    </row>
    <row r="14">
      <c r="D14" t="inlineStr">
        <is>
          <t>6 В</t>
        </is>
      </c>
      <c r="E14">
        <f>COUNTIF(A:A, "6 В")</f>
        <v/>
      </c>
    </row>
    <row r="15">
      <c r="D15" t="inlineStr">
        <is>
          <t>6 Г</t>
        </is>
      </c>
      <c r="E15">
        <f>COUNTIF(A:A, "6 Г")</f>
        <v/>
      </c>
    </row>
    <row r="16">
      <c r="D16" t="inlineStr">
        <is>
          <t>6 Д</t>
        </is>
      </c>
      <c r="E16">
        <f>COUNTIF(A:A, "6 Д")</f>
        <v/>
      </c>
    </row>
    <row r="17">
      <c r="D17" t="inlineStr">
        <is>
          <t>7 А</t>
        </is>
      </c>
      <c r="E17">
        <f>COUNTIF(A:A, "7 А")</f>
        <v/>
      </c>
    </row>
    <row r="18">
      <c r="D18" t="inlineStr">
        <is>
          <t>7 Б</t>
        </is>
      </c>
      <c r="E18">
        <f>COUNTIF(A:A, "7 Б")</f>
        <v/>
      </c>
    </row>
    <row r="19">
      <c r="D19" t="inlineStr">
        <is>
          <t>7 В</t>
        </is>
      </c>
      <c r="E19">
        <f>COUNTIF(A:A, "7 В")</f>
        <v/>
      </c>
    </row>
    <row r="20">
      <c r="D20" t="inlineStr">
        <is>
          <t>7 Г</t>
        </is>
      </c>
      <c r="E20">
        <f>COUNTIF(A:A, "7 Г")</f>
        <v/>
      </c>
    </row>
    <row r="21">
      <c r="D21" t="inlineStr">
        <is>
          <t>8 А</t>
        </is>
      </c>
      <c r="E21">
        <f>COUNTIF(A:A, "8 А")</f>
        <v/>
      </c>
    </row>
    <row r="22">
      <c r="D22" t="inlineStr">
        <is>
          <t>8 Б</t>
        </is>
      </c>
      <c r="E22">
        <f>COUNTIF(A:A, "8 Б")</f>
        <v/>
      </c>
    </row>
    <row r="23">
      <c r="D23" t="inlineStr">
        <is>
          <t>8 В</t>
        </is>
      </c>
      <c r="E23">
        <f>COUNTIF(A:A, "8 В")</f>
        <v/>
      </c>
    </row>
    <row r="24">
      <c r="D24" t="inlineStr">
        <is>
          <t>9 А</t>
        </is>
      </c>
      <c r="E24">
        <f>COUNTIF(A:A, "9 А")</f>
        <v/>
      </c>
    </row>
    <row r="25">
      <c r="D25" t="inlineStr">
        <is>
          <t>9 Б</t>
        </is>
      </c>
      <c r="E25">
        <f>COUNTIF(A:A, "9 Б")</f>
        <v/>
      </c>
    </row>
    <row r="26">
      <c r="D26" t="inlineStr">
        <is>
          <t>9 В</t>
        </is>
      </c>
      <c r="E26">
        <f>COUNTIF(A:A, "9 В")</f>
        <v/>
      </c>
    </row>
    <row r="27">
      <c r="D27" t="inlineStr">
        <is>
          <t>9 Г</t>
        </is>
      </c>
      <c r="E27">
        <f>COUNTIF(A:A, "9 Г")</f>
        <v/>
      </c>
    </row>
    <row r="28">
      <c r="D28" t="inlineStr">
        <is>
          <t>10 А</t>
        </is>
      </c>
      <c r="E28">
        <f>COUNTIF(A:A, "10 А")</f>
        <v/>
      </c>
    </row>
    <row r="29">
      <c r="D29" t="inlineStr">
        <is>
          <t>10 Б</t>
        </is>
      </c>
      <c r="E29">
        <f>COUNTIF(A:A, "10 Б")</f>
        <v/>
      </c>
    </row>
    <row r="30">
      <c r="D30" t="inlineStr">
        <is>
          <t>11 А</t>
        </is>
      </c>
      <c r="E30">
        <f>COUNTIF(A:A, "11 А")</f>
        <v/>
      </c>
    </row>
    <row r="31">
      <c r="D31" t="inlineStr">
        <is>
          <t>11 Б</t>
        </is>
      </c>
      <c r="E31">
        <f>COUNTIF(A:A, "11 Б")</f>
        <v/>
      </c>
    </row>
    <row r="32">
      <c r="D32" s="1" t="inlineStr">
        <is>
          <t xml:space="preserve">Всего: </t>
        </is>
      </c>
      <c r="E32">
        <f>SUM(E2:E31)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50" customWidth="1" min="2" max="2"/>
  </cols>
  <sheetData>
    <row r="1">
      <c r="A1" s="1" t="inlineStr">
        <is>
          <t>Класс</t>
        </is>
      </c>
      <c r="B1" s="1" t="inlineStr">
        <is>
          <t>Ученик</t>
        </is>
      </c>
      <c r="D1" s="1" t="inlineStr">
        <is>
          <t>Класс</t>
        </is>
      </c>
      <c r="E1" s="1" t="inlineStr">
        <is>
          <t>Кол-во</t>
        </is>
      </c>
    </row>
    <row r="2">
      <c r="A2" t="inlineStr">
        <is>
          <t>10 А</t>
        </is>
      </c>
      <c r="B2" t="inlineStr">
        <is>
          <t>Рупасов Михаил Иванович</t>
        </is>
      </c>
      <c r="D2" t="inlineStr">
        <is>
          <t>4 А</t>
        </is>
      </c>
      <c r="E2">
        <f>COUNTIF(A:A, "4 А")</f>
        <v/>
      </c>
    </row>
    <row r="3">
      <c r="A3" t="inlineStr">
        <is>
          <t>10 А</t>
        </is>
      </c>
      <c r="B3" t="inlineStr">
        <is>
          <t>Рыжакова Софья Дмитриевна</t>
        </is>
      </c>
      <c r="D3" t="inlineStr">
        <is>
          <t>4 Б</t>
        </is>
      </c>
      <c r="E3">
        <f>COUNTIF(A:A, "4 Б")</f>
        <v/>
      </c>
    </row>
    <row r="4">
      <c r="A4" t="inlineStr">
        <is>
          <t>10 А</t>
        </is>
      </c>
      <c r="B4" t="inlineStr">
        <is>
          <t>Серина Дарья Сергеевна</t>
        </is>
      </c>
      <c r="D4" t="inlineStr">
        <is>
          <t>4 В</t>
        </is>
      </c>
      <c r="E4">
        <f>COUNTIF(A:A, "4 В")</f>
        <v/>
      </c>
    </row>
    <row r="5">
      <c r="D5" t="inlineStr">
        <is>
          <t>4 Г</t>
        </is>
      </c>
      <c r="E5">
        <f>COUNTIF(A:A, "4 Г")</f>
        <v/>
      </c>
    </row>
    <row r="6">
      <c r="D6" t="inlineStr">
        <is>
          <t>4 Д</t>
        </is>
      </c>
      <c r="E6">
        <f>COUNTIF(A:A, "4 Д")</f>
        <v/>
      </c>
    </row>
    <row r="7">
      <c r="D7" t="inlineStr">
        <is>
          <t>5 А</t>
        </is>
      </c>
      <c r="E7">
        <f>COUNTIF(A:A, "5 А")</f>
        <v/>
      </c>
    </row>
    <row r="8">
      <c r="D8" t="inlineStr">
        <is>
          <t>5 Б</t>
        </is>
      </c>
      <c r="E8">
        <f>COUNTIF(A:A, "5 Б")</f>
        <v/>
      </c>
    </row>
    <row r="9">
      <c r="D9" t="inlineStr">
        <is>
          <t>5 В</t>
        </is>
      </c>
      <c r="E9">
        <f>COUNTIF(A:A, "5 В")</f>
        <v/>
      </c>
    </row>
    <row r="10">
      <c r="D10" t="inlineStr">
        <is>
          <t>5 Г</t>
        </is>
      </c>
      <c r="E10">
        <f>COUNTIF(A:A, "5 Г")</f>
        <v/>
      </c>
    </row>
    <row r="11">
      <c r="D11" t="inlineStr">
        <is>
          <t>5 Д</t>
        </is>
      </c>
      <c r="E11">
        <f>COUNTIF(A:A, "5 Д")</f>
        <v/>
      </c>
    </row>
    <row r="12">
      <c r="D12" t="inlineStr">
        <is>
          <t>6 А</t>
        </is>
      </c>
      <c r="E12">
        <f>COUNTIF(A:A, "6 А")</f>
        <v/>
      </c>
    </row>
    <row r="13">
      <c r="D13" t="inlineStr">
        <is>
          <t>6 Б</t>
        </is>
      </c>
      <c r="E13">
        <f>COUNTIF(A:A, "6 Б")</f>
        <v/>
      </c>
    </row>
    <row r="14">
      <c r="D14" t="inlineStr">
        <is>
          <t>6 В</t>
        </is>
      </c>
      <c r="E14">
        <f>COUNTIF(A:A, "6 В")</f>
        <v/>
      </c>
    </row>
    <row r="15">
      <c r="D15" t="inlineStr">
        <is>
          <t>6 Г</t>
        </is>
      </c>
      <c r="E15">
        <f>COUNTIF(A:A, "6 Г")</f>
        <v/>
      </c>
    </row>
    <row r="16">
      <c r="D16" t="inlineStr">
        <is>
          <t>6 Д</t>
        </is>
      </c>
      <c r="E16">
        <f>COUNTIF(A:A, "6 Д")</f>
        <v/>
      </c>
    </row>
    <row r="17">
      <c r="D17" t="inlineStr">
        <is>
          <t>7 А</t>
        </is>
      </c>
      <c r="E17">
        <f>COUNTIF(A:A, "7 А")</f>
        <v/>
      </c>
    </row>
    <row r="18">
      <c r="D18" t="inlineStr">
        <is>
          <t>7 Б</t>
        </is>
      </c>
      <c r="E18">
        <f>COUNTIF(A:A, "7 Б")</f>
        <v/>
      </c>
    </row>
    <row r="19">
      <c r="D19" t="inlineStr">
        <is>
          <t>7 В</t>
        </is>
      </c>
      <c r="E19">
        <f>COUNTIF(A:A, "7 В")</f>
        <v/>
      </c>
    </row>
    <row r="20">
      <c r="D20" t="inlineStr">
        <is>
          <t>7 Г</t>
        </is>
      </c>
      <c r="E20">
        <f>COUNTIF(A:A, "7 Г")</f>
        <v/>
      </c>
    </row>
    <row r="21">
      <c r="D21" t="inlineStr">
        <is>
          <t>8 А</t>
        </is>
      </c>
      <c r="E21">
        <f>COUNTIF(A:A, "8 А")</f>
        <v/>
      </c>
    </row>
    <row r="22">
      <c r="D22" t="inlineStr">
        <is>
          <t>8 Б</t>
        </is>
      </c>
      <c r="E22">
        <f>COUNTIF(A:A, "8 Б")</f>
        <v/>
      </c>
    </row>
    <row r="23">
      <c r="D23" t="inlineStr">
        <is>
          <t>8 В</t>
        </is>
      </c>
      <c r="E23">
        <f>COUNTIF(A:A, "8 В")</f>
        <v/>
      </c>
    </row>
    <row r="24">
      <c r="D24" t="inlineStr">
        <is>
          <t>9 А</t>
        </is>
      </c>
      <c r="E24">
        <f>COUNTIF(A:A, "9 А")</f>
        <v/>
      </c>
    </row>
    <row r="25">
      <c r="D25" t="inlineStr">
        <is>
          <t>9 Б</t>
        </is>
      </c>
      <c r="E25">
        <f>COUNTIF(A:A, "9 Б")</f>
        <v/>
      </c>
    </row>
    <row r="26">
      <c r="D26" t="inlineStr">
        <is>
          <t>9 В</t>
        </is>
      </c>
      <c r="E26">
        <f>COUNTIF(A:A, "9 В")</f>
        <v/>
      </c>
    </row>
    <row r="27">
      <c r="D27" t="inlineStr">
        <is>
          <t>9 Г</t>
        </is>
      </c>
      <c r="E27">
        <f>COUNTIF(A:A, "9 Г")</f>
        <v/>
      </c>
    </row>
    <row r="28">
      <c r="D28" t="inlineStr">
        <is>
          <t>10 А</t>
        </is>
      </c>
      <c r="E28">
        <f>COUNTIF(A:A, "10 А")</f>
        <v/>
      </c>
    </row>
    <row r="29">
      <c r="D29" t="inlineStr">
        <is>
          <t>10 Б</t>
        </is>
      </c>
      <c r="E29">
        <f>COUNTIF(A:A, "10 Б")</f>
        <v/>
      </c>
    </row>
    <row r="30">
      <c r="D30" t="inlineStr">
        <is>
          <t>11 А</t>
        </is>
      </c>
      <c r="E30">
        <f>COUNTIF(A:A, "11 А")</f>
        <v/>
      </c>
    </row>
    <row r="31">
      <c r="D31" t="inlineStr">
        <is>
          <t>11 Б</t>
        </is>
      </c>
      <c r="E31">
        <f>COUNTIF(A:A, "11 Б")</f>
        <v/>
      </c>
    </row>
    <row r="32">
      <c r="D32" s="1" t="inlineStr">
        <is>
          <t xml:space="preserve">Всего: </t>
        </is>
      </c>
      <c r="E32">
        <f>SUM(E2:E31)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50" customWidth="1" min="2" max="2"/>
  </cols>
  <sheetData>
    <row r="1">
      <c r="A1" s="1" t="inlineStr">
        <is>
          <t>Класс</t>
        </is>
      </c>
      <c r="B1" s="1" t="inlineStr">
        <is>
          <t>Ученик</t>
        </is>
      </c>
      <c r="D1" s="1" t="inlineStr">
        <is>
          <t>Класс</t>
        </is>
      </c>
      <c r="E1" s="1" t="inlineStr">
        <is>
          <t>Кол-во</t>
        </is>
      </c>
    </row>
    <row r="2">
      <c r="A2" t="inlineStr">
        <is>
          <t>10 А</t>
        </is>
      </c>
      <c r="B2" t="inlineStr">
        <is>
          <t>Садов Никита Александрович</t>
        </is>
      </c>
      <c r="D2" t="inlineStr">
        <is>
          <t>4 А</t>
        </is>
      </c>
      <c r="E2">
        <f>COUNTIF(A:A, "4 А")</f>
        <v/>
      </c>
    </row>
    <row r="3">
      <c r="A3" t="inlineStr">
        <is>
          <t>10 А</t>
        </is>
      </c>
      <c r="B3" t="inlineStr">
        <is>
          <t>Серина Дарья Сергеевна</t>
        </is>
      </c>
      <c r="D3" t="inlineStr">
        <is>
          <t>4 Б</t>
        </is>
      </c>
      <c r="E3">
        <f>COUNTIF(A:A, "4 Б")</f>
        <v/>
      </c>
    </row>
    <row r="4">
      <c r="A4" t="inlineStr">
        <is>
          <t>10 А</t>
        </is>
      </c>
      <c r="B4" t="inlineStr">
        <is>
          <t>Симанович Виктория Александровна</t>
        </is>
      </c>
      <c r="D4" t="inlineStr">
        <is>
          <t>4 В</t>
        </is>
      </c>
      <c r="E4">
        <f>COUNTIF(A:A, "4 В")</f>
        <v/>
      </c>
    </row>
    <row r="5">
      <c r="A5" t="inlineStr">
        <is>
          <t>10 А</t>
        </is>
      </c>
      <c r="B5" t="inlineStr">
        <is>
          <t>Смирнова Вероника Антоновна</t>
        </is>
      </c>
      <c r="D5" t="inlineStr">
        <is>
          <t>4 Г</t>
        </is>
      </c>
      <c r="E5">
        <f>COUNTIF(A:A, "4 Г")</f>
        <v/>
      </c>
    </row>
    <row r="6">
      <c r="D6" t="inlineStr">
        <is>
          <t>4 Д</t>
        </is>
      </c>
      <c r="E6">
        <f>COUNTIF(A:A, "4 Д")</f>
        <v/>
      </c>
    </row>
    <row r="7">
      <c r="D7" t="inlineStr">
        <is>
          <t>5 А</t>
        </is>
      </c>
      <c r="E7">
        <f>COUNTIF(A:A, "5 А")</f>
        <v/>
      </c>
    </row>
    <row r="8">
      <c r="D8" t="inlineStr">
        <is>
          <t>5 Б</t>
        </is>
      </c>
      <c r="E8">
        <f>COUNTIF(A:A, "5 Б")</f>
        <v/>
      </c>
    </row>
    <row r="9">
      <c r="D9" t="inlineStr">
        <is>
          <t>5 В</t>
        </is>
      </c>
      <c r="E9">
        <f>COUNTIF(A:A, "5 В")</f>
        <v/>
      </c>
    </row>
    <row r="10">
      <c r="D10" t="inlineStr">
        <is>
          <t>5 Г</t>
        </is>
      </c>
      <c r="E10">
        <f>COUNTIF(A:A, "5 Г")</f>
        <v/>
      </c>
    </row>
    <row r="11">
      <c r="D11" t="inlineStr">
        <is>
          <t>5 Д</t>
        </is>
      </c>
      <c r="E11">
        <f>COUNTIF(A:A, "5 Д")</f>
        <v/>
      </c>
    </row>
    <row r="12">
      <c r="D12" t="inlineStr">
        <is>
          <t>6 А</t>
        </is>
      </c>
      <c r="E12">
        <f>COUNTIF(A:A, "6 А")</f>
        <v/>
      </c>
    </row>
    <row r="13">
      <c r="D13" t="inlineStr">
        <is>
          <t>6 Б</t>
        </is>
      </c>
      <c r="E13">
        <f>COUNTIF(A:A, "6 Б")</f>
        <v/>
      </c>
    </row>
    <row r="14">
      <c r="D14" t="inlineStr">
        <is>
          <t>6 В</t>
        </is>
      </c>
      <c r="E14">
        <f>COUNTIF(A:A, "6 В")</f>
        <v/>
      </c>
    </row>
    <row r="15">
      <c r="D15" t="inlineStr">
        <is>
          <t>6 Г</t>
        </is>
      </c>
      <c r="E15">
        <f>COUNTIF(A:A, "6 Г")</f>
        <v/>
      </c>
    </row>
    <row r="16">
      <c r="D16" t="inlineStr">
        <is>
          <t>6 Д</t>
        </is>
      </c>
      <c r="E16">
        <f>COUNTIF(A:A, "6 Д")</f>
        <v/>
      </c>
    </row>
    <row r="17">
      <c r="D17" t="inlineStr">
        <is>
          <t>7 А</t>
        </is>
      </c>
      <c r="E17">
        <f>COUNTIF(A:A, "7 А")</f>
        <v/>
      </c>
    </row>
    <row r="18">
      <c r="D18" t="inlineStr">
        <is>
          <t>7 Б</t>
        </is>
      </c>
      <c r="E18">
        <f>COUNTIF(A:A, "7 Б")</f>
        <v/>
      </c>
    </row>
    <row r="19">
      <c r="D19" t="inlineStr">
        <is>
          <t>7 В</t>
        </is>
      </c>
      <c r="E19">
        <f>COUNTIF(A:A, "7 В")</f>
        <v/>
      </c>
    </row>
    <row r="20">
      <c r="D20" t="inlineStr">
        <is>
          <t>7 Г</t>
        </is>
      </c>
      <c r="E20">
        <f>COUNTIF(A:A, "7 Г")</f>
        <v/>
      </c>
    </row>
    <row r="21">
      <c r="D21" t="inlineStr">
        <is>
          <t>8 А</t>
        </is>
      </c>
      <c r="E21">
        <f>COUNTIF(A:A, "8 А")</f>
        <v/>
      </c>
    </row>
    <row r="22">
      <c r="D22" t="inlineStr">
        <is>
          <t>8 Б</t>
        </is>
      </c>
      <c r="E22">
        <f>COUNTIF(A:A, "8 Б")</f>
        <v/>
      </c>
    </row>
    <row r="23">
      <c r="D23" t="inlineStr">
        <is>
          <t>8 В</t>
        </is>
      </c>
      <c r="E23">
        <f>COUNTIF(A:A, "8 В")</f>
        <v/>
      </c>
    </row>
    <row r="24">
      <c r="D24" t="inlineStr">
        <is>
          <t>9 А</t>
        </is>
      </c>
      <c r="E24">
        <f>COUNTIF(A:A, "9 А")</f>
        <v/>
      </c>
    </row>
    <row r="25">
      <c r="D25" t="inlineStr">
        <is>
          <t>9 Б</t>
        </is>
      </c>
      <c r="E25">
        <f>COUNTIF(A:A, "9 Б")</f>
        <v/>
      </c>
    </row>
    <row r="26">
      <c r="D26" t="inlineStr">
        <is>
          <t>9 В</t>
        </is>
      </c>
      <c r="E26">
        <f>COUNTIF(A:A, "9 В")</f>
        <v/>
      </c>
    </row>
    <row r="27">
      <c r="D27" t="inlineStr">
        <is>
          <t>9 Г</t>
        </is>
      </c>
      <c r="E27">
        <f>COUNTIF(A:A, "9 Г")</f>
        <v/>
      </c>
    </row>
    <row r="28">
      <c r="D28" t="inlineStr">
        <is>
          <t>10 А</t>
        </is>
      </c>
      <c r="E28">
        <f>COUNTIF(A:A, "10 А")</f>
        <v/>
      </c>
    </row>
    <row r="29">
      <c r="D29" t="inlineStr">
        <is>
          <t>10 Б</t>
        </is>
      </c>
      <c r="E29">
        <f>COUNTIF(A:A, "10 Б")</f>
        <v/>
      </c>
    </row>
    <row r="30">
      <c r="D30" t="inlineStr">
        <is>
          <t>11 А</t>
        </is>
      </c>
      <c r="E30">
        <f>COUNTIF(A:A, "11 А")</f>
        <v/>
      </c>
    </row>
    <row r="31">
      <c r="D31" t="inlineStr">
        <is>
          <t>11 Б</t>
        </is>
      </c>
      <c r="E31">
        <f>COUNTIF(A:A, "11 Б")</f>
        <v/>
      </c>
    </row>
    <row r="32">
      <c r="D32" s="1" t="inlineStr">
        <is>
          <t xml:space="preserve">Всего: </t>
        </is>
      </c>
      <c r="E32">
        <f>SUM(E2:E31)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50" customWidth="1" min="2" max="2"/>
  </cols>
  <sheetData>
    <row r="1">
      <c r="A1" s="1" t="inlineStr">
        <is>
          <t>Класс</t>
        </is>
      </c>
      <c r="B1" s="1" t="inlineStr">
        <is>
          <t>Ученик</t>
        </is>
      </c>
      <c r="D1" s="1" t="inlineStr">
        <is>
          <t>Класс</t>
        </is>
      </c>
      <c r="E1" s="1" t="inlineStr">
        <is>
          <t>Кол-во</t>
        </is>
      </c>
    </row>
    <row r="2">
      <c r="A2" t="inlineStr">
        <is>
          <t>10 А</t>
        </is>
      </c>
      <c r="B2" t="inlineStr">
        <is>
          <t>Серина Дарья Сергеевна</t>
        </is>
      </c>
      <c r="D2" t="inlineStr">
        <is>
          <t>4 А</t>
        </is>
      </c>
      <c r="E2">
        <f>COUNTIF(A:A, "4 А")</f>
        <v/>
      </c>
    </row>
    <row r="3">
      <c r="A3" t="inlineStr">
        <is>
          <t>10 А</t>
        </is>
      </c>
      <c r="B3" t="inlineStr">
        <is>
          <t>Смирнова Вероника Антоновна</t>
        </is>
      </c>
      <c r="D3" t="inlineStr">
        <is>
          <t>4 Б</t>
        </is>
      </c>
      <c r="E3">
        <f>COUNTIF(A:A, "4 Б")</f>
        <v/>
      </c>
    </row>
    <row r="4">
      <c r="A4" t="inlineStr">
        <is>
          <t>10 А</t>
        </is>
      </c>
      <c r="B4" t="inlineStr">
        <is>
          <t>Филатова Анжелика Дмитриевна</t>
        </is>
      </c>
      <c r="D4" t="inlineStr">
        <is>
          <t>4 В</t>
        </is>
      </c>
      <c r="E4">
        <f>COUNTIF(A:A, "4 В")</f>
        <v/>
      </c>
    </row>
    <row r="5">
      <c r="D5" t="inlineStr">
        <is>
          <t>4 Г</t>
        </is>
      </c>
      <c r="E5">
        <f>COUNTIF(A:A, "4 Г")</f>
        <v/>
      </c>
    </row>
    <row r="6">
      <c r="D6" t="inlineStr">
        <is>
          <t>4 Д</t>
        </is>
      </c>
      <c r="E6">
        <f>COUNTIF(A:A, "4 Д")</f>
        <v/>
      </c>
    </row>
    <row r="7">
      <c r="D7" t="inlineStr">
        <is>
          <t>5 А</t>
        </is>
      </c>
      <c r="E7">
        <f>COUNTIF(A:A, "5 А")</f>
        <v/>
      </c>
    </row>
    <row r="8">
      <c r="D8" t="inlineStr">
        <is>
          <t>5 Б</t>
        </is>
      </c>
      <c r="E8">
        <f>COUNTIF(A:A, "5 Б")</f>
        <v/>
      </c>
    </row>
    <row r="9">
      <c r="D9" t="inlineStr">
        <is>
          <t>5 В</t>
        </is>
      </c>
      <c r="E9">
        <f>COUNTIF(A:A, "5 В")</f>
        <v/>
      </c>
    </row>
    <row r="10">
      <c r="D10" t="inlineStr">
        <is>
          <t>5 Г</t>
        </is>
      </c>
      <c r="E10">
        <f>COUNTIF(A:A, "5 Г")</f>
        <v/>
      </c>
    </row>
    <row r="11">
      <c r="D11" t="inlineStr">
        <is>
          <t>5 Д</t>
        </is>
      </c>
      <c r="E11">
        <f>COUNTIF(A:A, "5 Д")</f>
        <v/>
      </c>
    </row>
    <row r="12">
      <c r="D12" t="inlineStr">
        <is>
          <t>6 А</t>
        </is>
      </c>
      <c r="E12">
        <f>COUNTIF(A:A, "6 А")</f>
        <v/>
      </c>
    </row>
    <row r="13">
      <c r="D13" t="inlineStr">
        <is>
          <t>6 Б</t>
        </is>
      </c>
      <c r="E13">
        <f>COUNTIF(A:A, "6 Б")</f>
        <v/>
      </c>
    </row>
    <row r="14">
      <c r="D14" t="inlineStr">
        <is>
          <t>6 В</t>
        </is>
      </c>
      <c r="E14">
        <f>COUNTIF(A:A, "6 В")</f>
        <v/>
      </c>
    </row>
    <row r="15">
      <c r="D15" t="inlineStr">
        <is>
          <t>6 Г</t>
        </is>
      </c>
      <c r="E15">
        <f>COUNTIF(A:A, "6 Г")</f>
        <v/>
      </c>
    </row>
    <row r="16">
      <c r="D16" t="inlineStr">
        <is>
          <t>6 Д</t>
        </is>
      </c>
      <c r="E16">
        <f>COUNTIF(A:A, "6 Д")</f>
        <v/>
      </c>
    </row>
    <row r="17">
      <c r="D17" t="inlineStr">
        <is>
          <t>7 А</t>
        </is>
      </c>
      <c r="E17">
        <f>COUNTIF(A:A, "7 А")</f>
        <v/>
      </c>
    </row>
    <row r="18">
      <c r="D18" t="inlineStr">
        <is>
          <t>7 Б</t>
        </is>
      </c>
      <c r="E18">
        <f>COUNTIF(A:A, "7 Б")</f>
        <v/>
      </c>
    </row>
    <row r="19">
      <c r="D19" t="inlineStr">
        <is>
          <t>7 В</t>
        </is>
      </c>
      <c r="E19">
        <f>COUNTIF(A:A, "7 В")</f>
        <v/>
      </c>
    </row>
    <row r="20">
      <c r="D20" t="inlineStr">
        <is>
          <t>7 Г</t>
        </is>
      </c>
      <c r="E20">
        <f>COUNTIF(A:A, "7 Г")</f>
        <v/>
      </c>
    </row>
    <row r="21">
      <c r="D21" t="inlineStr">
        <is>
          <t>8 А</t>
        </is>
      </c>
      <c r="E21">
        <f>COUNTIF(A:A, "8 А")</f>
        <v/>
      </c>
    </row>
    <row r="22">
      <c r="D22" t="inlineStr">
        <is>
          <t>8 Б</t>
        </is>
      </c>
      <c r="E22">
        <f>COUNTIF(A:A, "8 Б")</f>
        <v/>
      </c>
    </row>
    <row r="23">
      <c r="D23" t="inlineStr">
        <is>
          <t>8 В</t>
        </is>
      </c>
      <c r="E23">
        <f>COUNTIF(A:A, "8 В")</f>
        <v/>
      </c>
    </row>
    <row r="24">
      <c r="D24" t="inlineStr">
        <is>
          <t>9 А</t>
        </is>
      </c>
      <c r="E24">
        <f>COUNTIF(A:A, "9 А")</f>
        <v/>
      </c>
    </row>
    <row r="25">
      <c r="D25" t="inlineStr">
        <is>
          <t>9 Б</t>
        </is>
      </c>
      <c r="E25">
        <f>COUNTIF(A:A, "9 Б")</f>
        <v/>
      </c>
    </row>
    <row r="26">
      <c r="D26" t="inlineStr">
        <is>
          <t>9 В</t>
        </is>
      </c>
      <c r="E26">
        <f>COUNTIF(A:A, "9 В")</f>
        <v/>
      </c>
    </row>
    <row r="27">
      <c r="D27" t="inlineStr">
        <is>
          <t>9 Г</t>
        </is>
      </c>
      <c r="E27">
        <f>COUNTIF(A:A, "9 Г")</f>
        <v/>
      </c>
    </row>
    <row r="28">
      <c r="D28" t="inlineStr">
        <is>
          <t>10 А</t>
        </is>
      </c>
      <c r="E28">
        <f>COUNTIF(A:A, "10 А")</f>
        <v/>
      </c>
    </row>
    <row r="29">
      <c r="D29" t="inlineStr">
        <is>
          <t>10 Б</t>
        </is>
      </c>
      <c r="E29">
        <f>COUNTIF(A:A, "10 Б")</f>
        <v/>
      </c>
    </row>
    <row r="30">
      <c r="D30" t="inlineStr">
        <is>
          <t>11 А</t>
        </is>
      </c>
      <c r="E30">
        <f>COUNTIF(A:A, "11 А")</f>
        <v/>
      </c>
    </row>
    <row r="31">
      <c r="D31" t="inlineStr">
        <is>
          <t>11 Б</t>
        </is>
      </c>
      <c r="E31">
        <f>COUNTIF(A:A, "11 Б")</f>
        <v/>
      </c>
    </row>
    <row r="32">
      <c r="D32" s="1" t="inlineStr">
        <is>
          <t xml:space="preserve">Всего: </t>
        </is>
      </c>
      <c r="E32">
        <f>SUM(E2:E31)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50" customWidth="1" min="2" max="2"/>
  </cols>
  <sheetData>
    <row r="1">
      <c r="A1" s="1" t="inlineStr">
        <is>
          <t>Класс</t>
        </is>
      </c>
      <c r="B1" s="1" t="inlineStr">
        <is>
          <t>Ученик</t>
        </is>
      </c>
      <c r="D1" s="1" t="inlineStr">
        <is>
          <t>Класс</t>
        </is>
      </c>
      <c r="E1" s="1" t="inlineStr">
        <is>
          <t>Кол-во</t>
        </is>
      </c>
    </row>
    <row r="2">
      <c r="A2" t="inlineStr">
        <is>
          <t>10 А</t>
        </is>
      </c>
      <c r="B2" t="inlineStr">
        <is>
          <t>Симанович Виктория Александровна</t>
        </is>
      </c>
      <c r="D2" t="inlineStr">
        <is>
          <t>4 А</t>
        </is>
      </c>
      <c r="E2">
        <f>COUNTIF(A:A, "4 А")</f>
        <v/>
      </c>
    </row>
    <row r="3">
      <c r="A3" t="inlineStr">
        <is>
          <t>10 А</t>
        </is>
      </c>
      <c r="B3" t="inlineStr">
        <is>
          <t>Смирнова Вероника Антоновна</t>
        </is>
      </c>
      <c r="D3" t="inlineStr">
        <is>
          <t>4 Б</t>
        </is>
      </c>
      <c r="E3">
        <f>COUNTIF(A:A, "4 Б")</f>
        <v/>
      </c>
    </row>
    <row r="4">
      <c r="A4" t="inlineStr">
        <is>
          <t>10 А</t>
        </is>
      </c>
      <c r="B4" t="inlineStr">
        <is>
          <t>Филатова Анжелика Дмитриевна</t>
        </is>
      </c>
      <c r="D4" t="inlineStr">
        <is>
          <t>4 В</t>
        </is>
      </c>
      <c r="E4">
        <f>COUNTIF(A:A, "4 В")</f>
        <v/>
      </c>
    </row>
    <row r="5">
      <c r="D5" t="inlineStr">
        <is>
          <t>4 Г</t>
        </is>
      </c>
      <c r="E5">
        <f>COUNTIF(A:A, "4 Г")</f>
        <v/>
      </c>
    </row>
    <row r="6">
      <c r="D6" t="inlineStr">
        <is>
          <t>4 Д</t>
        </is>
      </c>
      <c r="E6">
        <f>COUNTIF(A:A, "4 Д")</f>
        <v/>
      </c>
    </row>
    <row r="7">
      <c r="D7" t="inlineStr">
        <is>
          <t>5 А</t>
        </is>
      </c>
      <c r="E7">
        <f>COUNTIF(A:A, "5 А")</f>
        <v/>
      </c>
    </row>
    <row r="8">
      <c r="D8" t="inlineStr">
        <is>
          <t>5 Б</t>
        </is>
      </c>
      <c r="E8">
        <f>COUNTIF(A:A, "5 Б")</f>
        <v/>
      </c>
    </row>
    <row r="9">
      <c r="D9" t="inlineStr">
        <is>
          <t>5 В</t>
        </is>
      </c>
      <c r="E9">
        <f>COUNTIF(A:A, "5 В")</f>
        <v/>
      </c>
    </row>
    <row r="10">
      <c r="D10" t="inlineStr">
        <is>
          <t>5 Г</t>
        </is>
      </c>
      <c r="E10">
        <f>COUNTIF(A:A, "5 Г")</f>
        <v/>
      </c>
    </row>
    <row r="11">
      <c r="D11" t="inlineStr">
        <is>
          <t>5 Д</t>
        </is>
      </c>
      <c r="E11">
        <f>COUNTIF(A:A, "5 Д")</f>
        <v/>
      </c>
    </row>
    <row r="12">
      <c r="D12" t="inlineStr">
        <is>
          <t>6 А</t>
        </is>
      </c>
      <c r="E12">
        <f>COUNTIF(A:A, "6 А")</f>
        <v/>
      </c>
    </row>
    <row r="13">
      <c r="D13" t="inlineStr">
        <is>
          <t>6 Б</t>
        </is>
      </c>
      <c r="E13">
        <f>COUNTIF(A:A, "6 Б")</f>
        <v/>
      </c>
    </row>
    <row r="14">
      <c r="D14" t="inlineStr">
        <is>
          <t>6 В</t>
        </is>
      </c>
      <c r="E14">
        <f>COUNTIF(A:A, "6 В")</f>
        <v/>
      </c>
    </row>
    <row r="15">
      <c r="D15" t="inlineStr">
        <is>
          <t>6 Г</t>
        </is>
      </c>
      <c r="E15">
        <f>COUNTIF(A:A, "6 Г")</f>
        <v/>
      </c>
    </row>
    <row r="16">
      <c r="D16" t="inlineStr">
        <is>
          <t>6 Д</t>
        </is>
      </c>
      <c r="E16">
        <f>COUNTIF(A:A, "6 Д")</f>
        <v/>
      </c>
    </row>
    <row r="17">
      <c r="D17" t="inlineStr">
        <is>
          <t>7 А</t>
        </is>
      </c>
      <c r="E17">
        <f>COUNTIF(A:A, "7 А")</f>
        <v/>
      </c>
    </row>
    <row r="18">
      <c r="D18" t="inlineStr">
        <is>
          <t>7 Б</t>
        </is>
      </c>
      <c r="E18">
        <f>COUNTIF(A:A, "7 Б")</f>
        <v/>
      </c>
    </row>
    <row r="19">
      <c r="D19" t="inlineStr">
        <is>
          <t>7 В</t>
        </is>
      </c>
      <c r="E19">
        <f>COUNTIF(A:A, "7 В")</f>
        <v/>
      </c>
    </row>
    <row r="20">
      <c r="D20" t="inlineStr">
        <is>
          <t>7 Г</t>
        </is>
      </c>
      <c r="E20">
        <f>COUNTIF(A:A, "7 Г")</f>
        <v/>
      </c>
    </row>
    <row r="21">
      <c r="D21" t="inlineStr">
        <is>
          <t>8 А</t>
        </is>
      </c>
      <c r="E21">
        <f>COUNTIF(A:A, "8 А")</f>
        <v/>
      </c>
    </row>
    <row r="22">
      <c r="D22" t="inlineStr">
        <is>
          <t>8 Б</t>
        </is>
      </c>
      <c r="E22">
        <f>COUNTIF(A:A, "8 Б")</f>
        <v/>
      </c>
    </row>
    <row r="23">
      <c r="D23" t="inlineStr">
        <is>
          <t>8 В</t>
        </is>
      </c>
      <c r="E23">
        <f>COUNTIF(A:A, "8 В")</f>
        <v/>
      </c>
    </row>
    <row r="24">
      <c r="D24" t="inlineStr">
        <is>
          <t>9 А</t>
        </is>
      </c>
      <c r="E24">
        <f>COUNTIF(A:A, "9 А")</f>
        <v/>
      </c>
    </row>
    <row r="25">
      <c r="D25" t="inlineStr">
        <is>
          <t>9 Б</t>
        </is>
      </c>
      <c r="E25">
        <f>COUNTIF(A:A, "9 Б")</f>
        <v/>
      </c>
    </row>
    <row r="26">
      <c r="D26" t="inlineStr">
        <is>
          <t>9 В</t>
        </is>
      </c>
      <c r="E26">
        <f>COUNTIF(A:A, "9 В")</f>
        <v/>
      </c>
    </row>
    <row r="27">
      <c r="D27" t="inlineStr">
        <is>
          <t>9 Г</t>
        </is>
      </c>
      <c r="E27">
        <f>COUNTIF(A:A, "9 Г")</f>
        <v/>
      </c>
    </row>
    <row r="28">
      <c r="D28" t="inlineStr">
        <is>
          <t>10 А</t>
        </is>
      </c>
      <c r="E28">
        <f>COUNTIF(A:A, "10 А")</f>
        <v/>
      </c>
    </row>
    <row r="29">
      <c r="D29" t="inlineStr">
        <is>
          <t>10 Б</t>
        </is>
      </c>
      <c r="E29">
        <f>COUNTIF(A:A, "10 Б")</f>
        <v/>
      </c>
    </row>
    <row r="30">
      <c r="D30" t="inlineStr">
        <is>
          <t>11 А</t>
        </is>
      </c>
      <c r="E30">
        <f>COUNTIF(A:A, "11 А")</f>
        <v/>
      </c>
    </row>
    <row r="31">
      <c r="D31" t="inlineStr">
        <is>
          <t>11 Б</t>
        </is>
      </c>
      <c r="E31">
        <f>COUNTIF(A:A, "11 Б")</f>
        <v/>
      </c>
    </row>
    <row r="32">
      <c r="D32" s="1" t="inlineStr">
        <is>
          <t xml:space="preserve">Всего: </t>
        </is>
      </c>
      <c r="E32">
        <f>SUM(E2:E31)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50" customWidth="1" min="2" max="2"/>
  </cols>
  <sheetData>
    <row r="1">
      <c r="A1" s="1" t="inlineStr">
        <is>
          <t>Класс</t>
        </is>
      </c>
      <c r="B1" s="1" t="inlineStr">
        <is>
          <t>Ученик</t>
        </is>
      </c>
      <c r="D1" s="1" t="inlineStr">
        <is>
          <t>Класс</t>
        </is>
      </c>
      <c r="E1" s="1" t="inlineStr">
        <is>
          <t>Кол-во</t>
        </is>
      </c>
    </row>
    <row r="2">
      <c r="A2" t="inlineStr">
        <is>
          <t>10 А</t>
        </is>
      </c>
      <c r="B2" t="inlineStr">
        <is>
          <t>Филатова Анжелика Дмитриевна</t>
        </is>
      </c>
      <c r="D2" t="inlineStr">
        <is>
          <t>4 А</t>
        </is>
      </c>
      <c r="E2">
        <f>COUNTIF(A:A, "4 А")</f>
        <v/>
      </c>
    </row>
    <row r="3">
      <c r="D3" t="inlineStr">
        <is>
          <t>4 Б</t>
        </is>
      </c>
      <c r="E3">
        <f>COUNTIF(A:A, "4 Б")</f>
        <v/>
      </c>
    </row>
    <row r="4">
      <c r="D4" t="inlineStr">
        <is>
          <t>4 В</t>
        </is>
      </c>
      <c r="E4">
        <f>COUNTIF(A:A, "4 В")</f>
        <v/>
      </c>
    </row>
    <row r="5">
      <c r="D5" t="inlineStr">
        <is>
          <t>4 Г</t>
        </is>
      </c>
      <c r="E5">
        <f>COUNTIF(A:A, "4 Г")</f>
        <v/>
      </c>
    </row>
    <row r="6">
      <c r="D6" t="inlineStr">
        <is>
          <t>4 Д</t>
        </is>
      </c>
      <c r="E6">
        <f>COUNTIF(A:A, "4 Д")</f>
        <v/>
      </c>
    </row>
    <row r="7">
      <c r="D7" t="inlineStr">
        <is>
          <t>5 А</t>
        </is>
      </c>
      <c r="E7">
        <f>COUNTIF(A:A, "5 А")</f>
        <v/>
      </c>
    </row>
    <row r="8">
      <c r="D8" t="inlineStr">
        <is>
          <t>5 Б</t>
        </is>
      </c>
      <c r="E8">
        <f>COUNTIF(A:A, "5 Б")</f>
        <v/>
      </c>
    </row>
    <row r="9">
      <c r="D9" t="inlineStr">
        <is>
          <t>5 В</t>
        </is>
      </c>
      <c r="E9">
        <f>COUNTIF(A:A, "5 В")</f>
        <v/>
      </c>
    </row>
    <row r="10">
      <c r="D10" t="inlineStr">
        <is>
          <t>5 Г</t>
        </is>
      </c>
      <c r="E10">
        <f>COUNTIF(A:A, "5 Г")</f>
        <v/>
      </c>
    </row>
    <row r="11">
      <c r="D11" t="inlineStr">
        <is>
          <t>5 Д</t>
        </is>
      </c>
      <c r="E11">
        <f>COUNTIF(A:A, "5 Д")</f>
        <v/>
      </c>
    </row>
    <row r="12">
      <c r="D12" t="inlineStr">
        <is>
          <t>6 А</t>
        </is>
      </c>
      <c r="E12">
        <f>COUNTIF(A:A, "6 А")</f>
        <v/>
      </c>
    </row>
    <row r="13">
      <c r="D13" t="inlineStr">
        <is>
          <t>6 Б</t>
        </is>
      </c>
      <c r="E13">
        <f>COUNTIF(A:A, "6 Б")</f>
        <v/>
      </c>
    </row>
    <row r="14">
      <c r="D14" t="inlineStr">
        <is>
          <t>6 В</t>
        </is>
      </c>
      <c r="E14">
        <f>COUNTIF(A:A, "6 В")</f>
        <v/>
      </c>
    </row>
    <row r="15">
      <c r="D15" t="inlineStr">
        <is>
          <t>6 Г</t>
        </is>
      </c>
      <c r="E15">
        <f>COUNTIF(A:A, "6 Г")</f>
        <v/>
      </c>
    </row>
    <row r="16">
      <c r="D16" t="inlineStr">
        <is>
          <t>6 Д</t>
        </is>
      </c>
      <c r="E16">
        <f>COUNTIF(A:A, "6 Д")</f>
        <v/>
      </c>
    </row>
    <row r="17">
      <c r="D17" t="inlineStr">
        <is>
          <t>7 А</t>
        </is>
      </c>
      <c r="E17">
        <f>COUNTIF(A:A, "7 А")</f>
        <v/>
      </c>
    </row>
    <row r="18">
      <c r="D18" t="inlineStr">
        <is>
          <t>7 Б</t>
        </is>
      </c>
      <c r="E18">
        <f>COUNTIF(A:A, "7 Б")</f>
        <v/>
      </c>
    </row>
    <row r="19">
      <c r="D19" t="inlineStr">
        <is>
          <t>7 В</t>
        </is>
      </c>
      <c r="E19">
        <f>COUNTIF(A:A, "7 В")</f>
        <v/>
      </c>
    </row>
    <row r="20">
      <c r="D20" t="inlineStr">
        <is>
          <t>7 Г</t>
        </is>
      </c>
      <c r="E20">
        <f>COUNTIF(A:A, "7 Г")</f>
        <v/>
      </c>
    </row>
    <row r="21">
      <c r="D21" t="inlineStr">
        <is>
          <t>8 А</t>
        </is>
      </c>
      <c r="E21">
        <f>COUNTIF(A:A, "8 А")</f>
        <v/>
      </c>
    </row>
    <row r="22">
      <c r="D22" t="inlineStr">
        <is>
          <t>8 Б</t>
        </is>
      </c>
      <c r="E22">
        <f>COUNTIF(A:A, "8 Б")</f>
        <v/>
      </c>
    </row>
    <row r="23">
      <c r="D23" t="inlineStr">
        <is>
          <t>8 В</t>
        </is>
      </c>
      <c r="E23">
        <f>COUNTIF(A:A, "8 В")</f>
        <v/>
      </c>
    </row>
    <row r="24">
      <c r="D24" t="inlineStr">
        <is>
          <t>9 А</t>
        </is>
      </c>
      <c r="E24">
        <f>COUNTIF(A:A, "9 А")</f>
        <v/>
      </c>
    </row>
    <row r="25">
      <c r="D25" t="inlineStr">
        <is>
          <t>9 Б</t>
        </is>
      </c>
      <c r="E25">
        <f>COUNTIF(A:A, "9 Б")</f>
        <v/>
      </c>
    </row>
    <row r="26">
      <c r="D26" t="inlineStr">
        <is>
          <t>9 В</t>
        </is>
      </c>
      <c r="E26">
        <f>COUNTIF(A:A, "9 В")</f>
        <v/>
      </c>
    </row>
    <row r="27">
      <c r="D27" t="inlineStr">
        <is>
          <t>9 Г</t>
        </is>
      </c>
      <c r="E27">
        <f>COUNTIF(A:A, "9 Г")</f>
        <v/>
      </c>
    </row>
    <row r="28">
      <c r="D28" t="inlineStr">
        <is>
          <t>10 А</t>
        </is>
      </c>
      <c r="E28">
        <f>COUNTIF(A:A, "10 А")</f>
        <v/>
      </c>
    </row>
    <row r="29">
      <c r="D29" t="inlineStr">
        <is>
          <t>10 Б</t>
        </is>
      </c>
      <c r="E29">
        <f>COUNTIF(A:A, "10 Б")</f>
        <v/>
      </c>
    </row>
    <row r="30">
      <c r="D30" t="inlineStr">
        <is>
          <t>11 А</t>
        </is>
      </c>
      <c r="E30">
        <f>COUNTIF(A:A, "11 А")</f>
        <v/>
      </c>
    </row>
    <row r="31">
      <c r="D31" t="inlineStr">
        <is>
          <t>11 Б</t>
        </is>
      </c>
      <c r="E31">
        <f>COUNTIF(A:A, "11 Б")</f>
        <v/>
      </c>
    </row>
    <row r="32">
      <c r="D32" s="1" t="inlineStr">
        <is>
          <t xml:space="preserve">Всего: </t>
        </is>
      </c>
      <c r="E32">
        <f>SUM(E2:E31)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B33"/>
  <sheetViews>
    <sheetView workbookViewId="0">
      <selection activeCell="A1" sqref="A1"/>
    </sheetView>
  </sheetViews>
  <sheetFormatPr baseColWidth="8" defaultRowHeight="15"/>
  <cols>
    <col width="11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</cols>
  <sheetData>
    <row r="1" ht="105" customHeight="1">
      <c r="A1" s="2" t="inlineStr">
        <is>
          <t>Класс</t>
        </is>
      </c>
      <c r="B1" s="3" t="inlineStr">
        <is>
          <t>Англ. язык</t>
        </is>
      </c>
      <c r="C1" s="4" t="inlineStr">
        <is>
          <t>Астрономия</t>
        </is>
      </c>
      <c r="D1" s="3" t="inlineStr">
        <is>
          <t>Биология</t>
        </is>
      </c>
      <c r="E1" s="4" t="inlineStr">
        <is>
          <t>География</t>
        </is>
      </c>
      <c r="F1" s="3" t="inlineStr">
        <is>
          <t>ИИ</t>
        </is>
      </c>
      <c r="G1" s="4" t="inlineStr">
        <is>
          <t>Инф.без.</t>
        </is>
      </c>
      <c r="H1" s="3" t="inlineStr">
        <is>
          <t>Искусство</t>
        </is>
      </c>
      <c r="I1" s="4" t="inlineStr">
        <is>
          <t>Исп.язык</t>
        </is>
      </c>
      <c r="J1" s="3" t="inlineStr">
        <is>
          <t>История</t>
        </is>
      </c>
      <c r="K1" s="4" t="inlineStr">
        <is>
          <t>Итал.язык</t>
        </is>
      </c>
      <c r="L1" s="3" t="inlineStr">
        <is>
          <t>Кит.язык</t>
        </is>
      </c>
      <c r="M1" s="4" t="inlineStr">
        <is>
          <t>Литература</t>
        </is>
      </c>
      <c r="N1" s="3" t="inlineStr">
        <is>
          <t>Математика</t>
        </is>
      </c>
      <c r="O1" s="4" t="inlineStr">
        <is>
          <t>Нем.язык</t>
        </is>
      </c>
      <c r="P1" s="3" t="inlineStr">
        <is>
          <t>ОБЗР</t>
        </is>
      </c>
      <c r="Q1" s="4" t="inlineStr">
        <is>
          <t>Обществознание</t>
        </is>
      </c>
      <c r="R1" s="3" t="inlineStr">
        <is>
          <t>Право</t>
        </is>
      </c>
      <c r="S1" s="4" t="inlineStr">
        <is>
          <t>Программирование</t>
        </is>
      </c>
      <c r="T1" s="3" t="inlineStr">
        <is>
          <t>Робототехника</t>
        </is>
      </c>
      <c r="U1" s="4" t="inlineStr">
        <is>
          <t>Русский язык</t>
        </is>
      </c>
      <c r="V1" s="3" t="inlineStr">
        <is>
          <t>Труд</t>
        </is>
      </c>
      <c r="W1" s="4" t="inlineStr">
        <is>
          <t>Физ.культура</t>
        </is>
      </c>
      <c r="X1" s="3" t="inlineStr">
        <is>
          <t>Физика</t>
        </is>
      </c>
      <c r="Y1" s="4" t="inlineStr">
        <is>
          <t>Фран.язык</t>
        </is>
      </c>
      <c r="Z1" s="3" t="inlineStr">
        <is>
          <t>Химия</t>
        </is>
      </c>
      <c r="AA1" s="4" t="inlineStr">
        <is>
          <t>Экология</t>
        </is>
      </c>
      <c r="AB1" s="3" t="inlineStr">
        <is>
          <t>Экономика</t>
        </is>
      </c>
    </row>
    <row r="2">
      <c r="A2" s="5" t="inlineStr">
        <is>
          <t>4 А</t>
        </is>
      </c>
      <c r="B2" s="6">
        <f>'Англ. язык'!E2</f>
        <v/>
      </c>
      <c r="C2" s="7">
        <f>'Астрономия'!E2</f>
        <v/>
      </c>
      <c r="D2" s="6">
        <f>'Биология'!E2</f>
        <v/>
      </c>
      <c r="E2" s="7">
        <f>'География'!E2</f>
        <v/>
      </c>
      <c r="F2" s="6">
        <f>'ИИ'!E2</f>
        <v/>
      </c>
      <c r="G2" s="7">
        <f>'Инф.без.'!E2</f>
        <v/>
      </c>
      <c r="H2" s="6">
        <f>'Искусство'!E2</f>
        <v/>
      </c>
      <c r="I2" s="7">
        <f>'Исп.язык'!E2</f>
        <v/>
      </c>
      <c r="J2" s="6">
        <f>'История'!E2</f>
        <v/>
      </c>
      <c r="K2" s="7">
        <f>'Итал.язык'!E2</f>
        <v/>
      </c>
      <c r="L2" s="6">
        <f>'Кит.язык'!E2</f>
        <v/>
      </c>
      <c r="M2" s="7">
        <f>'Литература'!E2</f>
        <v/>
      </c>
      <c r="N2" s="6">
        <f>'Математика'!E2</f>
        <v/>
      </c>
      <c r="O2" s="7">
        <f>'Нем.язык'!E2</f>
        <v/>
      </c>
      <c r="P2" s="6">
        <f>'ОБЗР'!E2</f>
        <v/>
      </c>
      <c r="Q2" s="7">
        <f>'Обществознание'!E2</f>
        <v/>
      </c>
      <c r="R2" s="6">
        <f>'Право'!E2</f>
        <v/>
      </c>
      <c r="S2" s="7">
        <f>'Программирование'!E2</f>
        <v/>
      </c>
      <c r="T2" s="6">
        <f>'Робототехника'!E2</f>
        <v/>
      </c>
      <c r="U2" s="7">
        <f>'Русский язык'!E2</f>
        <v/>
      </c>
      <c r="V2" s="6">
        <f>'Труд'!E2</f>
        <v/>
      </c>
      <c r="W2" s="7">
        <f>'Физ.культура'!E2</f>
        <v/>
      </c>
      <c r="X2" s="6">
        <f>'Физика'!E2</f>
        <v/>
      </c>
      <c r="Y2" s="7">
        <f>'Фран.язык'!E2</f>
        <v/>
      </c>
      <c r="Z2" s="6">
        <f>'Химия'!E2</f>
        <v/>
      </c>
      <c r="AA2" s="7">
        <f>'Экология'!E2</f>
        <v/>
      </c>
      <c r="AB2" s="6">
        <f>'Экономика'!E2</f>
        <v/>
      </c>
    </row>
    <row r="3">
      <c r="A3" s="5" t="inlineStr">
        <is>
          <t>4 Б</t>
        </is>
      </c>
      <c r="B3" s="6">
        <f>'Англ. язык'!E3</f>
        <v/>
      </c>
      <c r="C3" s="7">
        <f>'Астрономия'!E3</f>
        <v/>
      </c>
      <c r="D3" s="6">
        <f>'Биология'!E3</f>
        <v/>
      </c>
      <c r="E3" s="7">
        <f>'География'!E3</f>
        <v/>
      </c>
      <c r="F3" s="6">
        <f>'ИИ'!E3</f>
        <v/>
      </c>
      <c r="G3" s="7">
        <f>'Инф.без.'!E3</f>
        <v/>
      </c>
      <c r="H3" s="6">
        <f>'Искусство'!E3</f>
        <v/>
      </c>
      <c r="I3" s="7">
        <f>'Исп.язык'!E3</f>
        <v/>
      </c>
      <c r="J3" s="6">
        <f>'История'!E3</f>
        <v/>
      </c>
      <c r="K3" s="7">
        <f>'Итал.язык'!E3</f>
        <v/>
      </c>
      <c r="L3" s="6">
        <f>'Кит.язык'!E3</f>
        <v/>
      </c>
      <c r="M3" s="7">
        <f>'Литература'!E3</f>
        <v/>
      </c>
      <c r="N3" s="6">
        <f>'Математика'!E3</f>
        <v/>
      </c>
      <c r="O3" s="7">
        <f>'Нем.язык'!E3</f>
        <v/>
      </c>
      <c r="P3" s="6">
        <f>'ОБЗР'!E3</f>
        <v/>
      </c>
      <c r="Q3" s="7">
        <f>'Обществознание'!E3</f>
        <v/>
      </c>
      <c r="R3" s="6">
        <f>'Право'!E3</f>
        <v/>
      </c>
      <c r="S3" s="7">
        <f>'Программирование'!E3</f>
        <v/>
      </c>
      <c r="T3" s="6">
        <f>'Робототехника'!E3</f>
        <v/>
      </c>
      <c r="U3" s="7">
        <f>'Русский язык'!E3</f>
        <v/>
      </c>
      <c r="V3" s="6">
        <f>'Труд'!E3</f>
        <v/>
      </c>
      <c r="W3" s="7">
        <f>'Физ.культура'!E3</f>
        <v/>
      </c>
      <c r="X3" s="6">
        <f>'Физика'!E3</f>
        <v/>
      </c>
      <c r="Y3" s="7">
        <f>'Фран.язык'!E3</f>
        <v/>
      </c>
      <c r="Z3" s="6">
        <f>'Химия'!E3</f>
        <v/>
      </c>
      <c r="AA3" s="7">
        <f>'Экология'!E3</f>
        <v/>
      </c>
      <c r="AB3" s="6">
        <f>'Экономика'!E3</f>
        <v/>
      </c>
    </row>
    <row r="4">
      <c r="A4" s="5" t="inlineStr">
        <is>
          <t>4 В</t>
        </is>
      </c>
      <c r="B4" s="6">
        <f>'Англ. язык'!E4</f>
        <v/>
      </c>
      <c r="C4" s="7">
        <f>'Астрономия'!E4</f>
        <v/>
      </c>
      <c r="D4" s="6">
        <f>'Биология'!E4</f>
        <v/>
      </c>
      <c r="E4" s="7">
        <f>'География'!E4</f>
        <v/>
      </c>
      <c r="F4" s="6">
        <f>'ИИ'!E4</f>
        <v/>
      </c>
      <c r="G4" s="7">
        <f>'Инф.без.'!E4</f>
        <v/>
      </c>
      <c r="H4" s="6">
        <f>'Искусство'!E4</f>
        <v/>
      </c>
      <c r="I4" s="7">
        <f>'Исп.язык'!E4</f>
        <v/>
      </c>
      <c r="J4" s="6">
        <f>'История'!E4</f>
        <v/>
      </c>
      <c r="K4" s="7">
        <f>'Итал.язык'!E4</f>
        <v/>
      </c>
      <c r="L4" s="6">
        <f>'Кит.язык'!E4</f>
        <v/>
      </c>
      <c r="M4" s="7">
        <f>'Литература'!E4</f>
        <v/>
      </c>
      <c r="N4" s="6">
        <f>'Математика'!E4</f>
        <v/>
      </c>
      <c r="O4" s="7">
        <f>'Нем.язык'!E4</f>
        <v/>
      </c>
      <c r="P4" s="6">
        <f>'ОБЗР'!E4</f>
        <v/>
      </c>
      <c r="Q4" s="7">
        <f>'Обществознание'!E4</f>
        <v/>
      </c>
      <c r="R4" s="6">
        <f>'Право'!E4</f>
        <v/>
      </c>
      <c r="S4" s="7">
        <f>'Программирование'!E4</f>
        <v/>
      </c>
      <c r="T4" s="6">
        <f>'Робототехника'!E4</f>
        <v/>
      </c>
      <c r="U4" s="7">
        <f>'Русский язык'!E4</f>
        <v/>
      </c>
      <c r="V4" s="6">
        <f>'Труд'!E4</f>
        <v/>
      </c>
      <c r="W4" s="7">
        <f>'Физ.культура'!E4</f>
        <v/>
      </c>
      <c r="X4" s="6">
        <f>'Физика'!E4</f>
        <v/>
      </c>
      <c r="Y4" s="7">
        <f>'Фран.язык'!E4</f>
        <v/>
      </c>
      <c r="Z4" s="6">
        <f>'Химия'!E4</f>
        <v/>
      </c>
      <c r="AA4" s="7">
        <f>'Экология'!E4</f>
        <v/>
      </c>
      <c r="AB4" s="6">
        <f>'Экономика'!E4</f>
        <v/>
      </c>
    </row>
    <row r="5">
      <c r="A5" s="5" t="inlineStr">
        <is>
          <t>4 Г</t>
        </is>
      </c>
      <c r="B5" s="6">
        <f>'Англ. язык'!E5</f>
        <v/>
      </c>
      <c r="C5" s="7">
        <f>'Астрономия'!E5</f>
        <v/>
      </c>
      <c r="D5" s="6">
        <f>'Биология'!E5</f>
        <v/>
      </c>
      <c r="E5" s="7">
        <f>'География'!E5</f>
        <v/>
      </c>
      <c r="F5" s="6">
        <f>'ИИ'!E5</f>
        <v/>
      </c>
      <c r="G5" s="7">
        <f>'Инф.без.'!E5</f>
        <v/>
      </c>
      <c r="H5" s="6">
        <f>'Искусство'!E5</f>
        <v/>
      </c>
      <c r="I5" s="7">
        <f>'Исп.язык'!E5</f>
        <v/>
      </c>
      <c r="J5" s="6">
        <f>'История'!E5</f>
        <v/>
      </c>
      <c r="K5" s="7">
        <f>'Итал.язык'!E5</f>
        <v/>
      </c>
      <c r="L5" s="6">
        <f>'Кит.язык'!E5</f>
        <v/>
      </c>
      <c r="M5" s="7">
        <f>'Литература'!E5</f>
        <v/>
      </c>
      <c r="N5" s="6">
        <f>'Математика'!E5</f>
        <v/>
      </c>
      <c r="O5" s="7">
        <f>'Нем.язык'!E5</f>
        <v/>
      </c>
      <c r="P5" s="6">
        <f>'ОБЗР'!E5</f>
        <v/>
      </c>
      <c r="Q5" s="7">
        <f>'Обществознание'!E5</f>
        <v/>
      </c>
      <c r="R5" s="6">
        <f>'Право'!E5</f>
        <v/>
      </c>
      <c r="S5" s="7">
        <f>'Программирование'!E5</f>
        <v/>
      </c>
      <c r="T5" s="6">
        <f>'Робототехника'!E5</f>
        <v/>
      </c>
      <c r="U5" s="7">
        <f>'Русский язык'!E5</f>
        <v/>
      </c>
      <c r="V5" s="6">
        <f>'Труд'!E5</f>
        <v/>
      </c>
      <c r="W5" s="7">
        <f>'Физ.культура'!E5</f>
        <v/>
      </c>
      <c r="X5" s="6">
        <f>'Физика'!E5</f>
        <v/>
      </c>
      <c r="Y5" s="7">
        <f>'Фран.язык'!E5</f>
        <v/>
      </c>
      <c r="Z5" s="6">
        <f>'Химия'!E5</f>
        <v/>
      </c>
      <c r="AA5" s="7">
        <f>'Экология'!E5</f>
        <v/>
      </c>
      <c r="AB5" s="6">
        <f>'Экономика'!E5</f>
        <v/>
      </c>
    </row>
    <row r="6">
      <c r="A6" s="5" t="inlineStr">
        <is>
          <t>4 Д</t>
        </is>
      </c>
      <c r="B6" s="6">
        <f>'Англ. язык'!E6</f>
        <v/>
      </c>
      <c r="C6" s="7">
        <f>'Астрономия'!E6</f>
        <v/>
      </c>
      <c r="D6" s="6">
        <f>'Биология'!E6</f>
        <v/>
      </c>
      <c r="E6" s="7">
        <f>'География'!E6</f>
        <v/>
      </c>
      <c r="F6" s="6">
        <f>'ИИ'!E6</f>
        <v/>
      </c>
      <c r="G6" s="7">
        <f>'Инф.без.'!E6</f>
        <v/>
      </c>
      <c r="H6" s="6">
        <f>'Искусство'!E6</f>
        <v/>
      </c>
      <c r="I6" s="7">
        <f>'Исп.язык'!E6</f>
        <v/>
      </c>
      <c r="J6" s="6">
        <f>'История'!E6</f>
        <v/>
      </c>
      <c r="K6" s="7">
        <f>'Итал.язык'!E6</f>
        <v/>
      </c>
      <c r="L6" s="6">
        <f>'Кит.язык'!E6</f>
        <v/>
      </c>
      <c r="M6" s="7">
        <f>'Литература'!E6</f>
        <v/>
      </c>
      <c r="N6" s="6">
        <f>'Математика'!E6</f>
        <v/>
      </c>
      <c r="O6" s="7">
        <f>'Нем.язык'!E6</f>
        <v/>
      </c>
      <c r="P6" s="6">
        <f>'ОБЗР'!E6</f>
        <v/>
      </c>
      <c r="Q6" s="7">
        <f>'Обществознание'!E6</f>
        <v/>
      </c>
      <c r="R6" s="6">
        <f>'Право'!E6</f>
        <v/>
      </c>
      <c r="S6" s="7">
        <f>'Программирование'!E6</f>
        <v/>
      </c>
      <c r="T6" s="6">
        <f>'Робототехника'!E6</f>
        <v/>
      </c>
      <c r="U6" s="7">
        <f>'Русский язык'!E6</f>
        <v/>
      </c>
      <c r="V6" s="6">
        <f>'Труд'!E6</f>
        <v/>
      </c>
      <c r="W6" s="7">
        <f>'Физ.культура'!E6</f>
        <v/>
      </c>
      <c r="X6" s="6">
        <f>'Физика'!E6</f>
        <v/>
      </c>
      <c r="Y6" s="7">
        <f>'Фран.язык'!E6</f>
        <v/>
      </c>
      <c r="Z6" s="6">
        <f>'Химия'!E6</f>
        <v/>
      </c>
      <c r="AA6" s="7">
        <f>'Экология'!E6</f>
        <v/>
      </c>
      <c r="AB6" s="6">
        <f>'Экономика'!E6</f>
        <v/>
      </c>
    </row>
    <row r="7">
      <c r="A7" s="5" t="inlineStr">
        <is>
          <t>5 А</t>
        </is>
      </c>
      <c r="B7" s="6">
        <f>'Англ. язык'!E7</f>
        <v/>
      </c>
      <c r="C7" s="7">
        <f>'Астрономия'!E7</f>
        <v/>
      </c>
      <c r="D7" s="6">
        <f>'Биология'!E7</f>
        <v/>
      </c>
      <c r="E7" s="7">
        <f>'География'!E7</f>
        <v/>
      </c>
      <c r="F7" s="6">
        <f>'ИИ'!E7</f>
        <v/>
      </c>
      <c r="G7" s="7">
        <f>'Инф.без.'!E7</f>
        <v/>
      </c>
      <c r="H7" s="6">
        <f>'Искусство'!E7</f>
        <v/>
      </c>
      <c r="I7" s="7">
        <f>'Исп.язык'!E7</f>
        <v/>
      </c>
      <c r="J7" s="6">
        <f>'История'!E7</f>
        <v/>
      </c>
      <c r="K7" s="7">
        <f>'Итал.язык'!E7</f>
        <v/>
      </c>
      <c r="L7" s="6">
        <f>'Кит.язык'!E7</f>
        <v/>
      </c>
      <c r="M7" s="7">
        <f>'Литература'!E7</f>
        <v/>
      </c>
      <c r="N7" s="6">
        <f>'Математика'!E7</f>
        <v/>
      </c>
      <c r="O7" s="7">
        <f>'Нем.язык'!E7</f>
        <v/>
      </c>
      <c r="P7" s="6">
        <f>'ОБЗР'!E7</f>
        <v/>
      </c>
      <c r="Q7" s="7">
        <f>'Обществознание'!E7</f>
        <v/>
      </c>
      <c r="R7" s="6">
        <f>'Право'!E7</f>
        <v/>
      </c>
      <c r="S7" s="7">
        <f>'Программирование'!E7</f>
        <v/>
      </c>
      <c r="T7" s="6">
        <f>'Робототехника'!E7</f>
        <v/>
      </c>
      <c r="U7" s="7">
        <f>'Русский язык'!E7</f>
        <v/>
      </c>
      <c r="V7" s="6">
        <f>'Труд'!E7</f>
        <v/>
      </c>
      <c r="W7" s="7">
        <f>'Физ.культура'!E7</f>
        <v/>
      </c>
      <c r="X7" s="6">
        <f>'Физика'!E7</f>
        <v/>
      </c>
      <c r="Y7" s="7">
        <f>'Фран.язык'!E7</f>
        <v/>
      </c>
      <c r="Z7" s="6">
        <f>'Химия'!E7</f>
        <v/>
      </c>
      <c r="AA7" s="7">
        <f>'Экология'!E7</f>
        <v/>
      </c>
      <c r="AB7" s="6">
        <f>'Экономика'!E7</f>
        <v/>
      </c>
    </row>
    <row r="8">
      <c r="A8" s="5" t="inlineStr">
        <is>
          <t>5 Б</t>
        </is>
      </c>
      <c r="B8" s="6">
        <f>'Англ. язык'!E8</f>
        <v/>
      </c>
      <c r="C8" s="7">
        <f>'Астрономия'!E8</f>
        <v/>
      </c>
      <c r="D8" s="6">
        <f>'Биология'!E8</f>
        <v/>
      </c>
      <c r="E8" s="7">
        <f>'География'!E8</f>
        <v/>
      </c>
      <c r="F8" s="6">
        <f>'ИИ'!E8</f>
        <v/>
      </c>
      <c r="G8" s="7">
        <f>'Инф.без.'!E8</f>
        <v/>
      </c>
      <c r="H8" s="6">
        <f>'Искусство'!E8</f>
        <v/>
      </c>
      <c r="I8" s="7">
        <f>'Исп.язык'!E8</f>
        <v/>
      </c>
      <c r="J8" s="6">
        <f>'История'!E8</f>
        <v/>
      </c>
      <c r="K8" s="7">
        <f>'Итал.язык'!E8</f>
        <v/>
      </c>
      <c r="L8" s="6">
        <f>'Кит.язык'!E8</f>
        <v/>
      </c>
      <c r="M8" s="7">
        <f>'Литература'!E8</f>
        <v/>
      </c>
      <c r="N8" s="6">
        <f>'Математика'!E8</f>
        <v/>
      </c>
      <c r="O8" s="7">
        <f>'Нем.язык'!E8</f>
        <v/>
      </c>
      <c r="P8" s="6">
        <f>'ОБЗР'!E8</f>
        <v/>
      </c>
      <c r="Q8" s="7">
        <f>'Обществознание'!E8</f>
        <v/>
      </c>
      <c r="R8" s="6">
        <f>'Право'!E8</f>
        <v/>
      </c>
      <c r="S8" s="7">
        <f>'Программирование'!E8</f>
        <v/>
      </c>
      <c r="T8" s="6">
        <f>'Робототехника'!E8</f>
        <v/>
      </c>
      <c r="U8" s="7">
        <f>'Русский язык'!E8</f>
        <v/>
      </c>
      <c r="V8" s="6">
        <f>'Труд'!E8</f>
        <v/>
      </c>
      <c r="W8" s="7">
        <f>'Физ.культура'!E8</f>
        <v/>
      </c>
      <c r="X8" s="6">
        <f>'Физика'!E8</f>
        <v/>
      </c>
      <c r="Y8" s="7">
        <f>'Фран.язык'!E8</f>
        <v/>
      </c>
      <c r="Z8" s="6">
        <f>'Химия'!E8</f>
        <v/>
      </c>
      <c r="AA8" s="7">
        <f>'Экология'!E8</f>
        <v/>
      </c>
      <c r="AB8" s="6">
        <f>'Экономика'!E8</f>
        <v/>
      </c>
    </row>
    <row r="9">
      <c r="A9" s="5" t="inlineStr">
        <is>
          <t>5 В</t>
        </is>
      </c>
      <c r="B9" s="6">
        <f>'Англ. язык'!E9</f>
        <v/>
      </c>
      <c r="C9" s="7">
        <f>'Астрономия'!E9</f>
        <v/>
      </c>
      <c r="D9" s="6">
        <f>'Биология'!E9</f>
        <v/>
      </c>
      <c r="E9" s="7">
        <f>'География'!E9</f>
        <v/>
      </c>
      <c r="F9" s="6">
        <f>'ИИ'!E9</f>
        <v/>
      </c>
      <c r="G9" s="7">
        <f>'Инф.без.'!E9</f>
        <v/>
      </c>
      <c r="H9" s="6">
        <f>'Искусство'!E9</f>
        <v/>
      </c>
      <c r="I9" s="7">
        <f>'Исп.язык'!E9</f>
        <v/>
      </c>
      <c r="J9" s="6">
        <f>'История'!E9</f>
        <v/>
      </c>
      <c r="K9" s="7">
        <f>'Итал.язык'!E9</f>
        <v/>
      </c>
      <c r="L9" s="6">
        <f>'Кит.язык'!E9</f>
        <v/>
      </c>
      <c r="M9" s="7">
        <f>'Литература'!E9</f>
        <v/>
      </c>
      <c r="N9" s="6">
        <f>'Математика'!E9</f>
        <v/>
      </c>
      <c r="O9" s="7">
        <f>'Нем.язык'!E9</f>
        <v/>
      </c>
      <c r="P9" s="6">
        <f>'ОБЗР'!E9</f>
        <v/>
      </c>
      <c r="Q9" s="7">
        <f>'Обществознание'!E9</f>
        <v/>
      </c>
      <c r="R9" s="6">
        <f>'Право'!E9</f>
        <v/>
      </c>
      <c r="S9" s="7">
        <f>'Программирование'!E9</f>
        <v/>
      </c>
      <c r="T9" s="6">
        <f>'Робототехника'!E9</f>
        <v/>
      </c>
      <c r="U9" s="7">
        <f>'Русский язык'!E9</f>
        <v/>
      </c>
      <c r="V9" s="6">
        <f>'Труд'!E9</f>
        <v/>
      </c>
      <c r="W9" s="7">
        <f>'Физ.культура'!E9</f>
        <v/>
      </c>
      <c r="X9" s="6">
        <f>'Физика'!E9</f>
        <v/>
      </c>
      <c r="Y9" s="7">
        <f>'Фран.язык'!E9</f>
        <v/>
      </c>
      <c r="Z9" s="6">
        <f>'Химия'!E9</f>
        <v/>
      </c>
      <c r="AA9" s="7">
        <f>'Экология'!E9</f>
        <v/>
      </c>
      <c r="AB9" s="6">
        <f>'Экономика'!E9</f>
        <v/>
      </c>
    </row>
    <row r="10">
      <c r="A10" s="5" t="inlineStr">
        <is>
          <t>5 Г</t>
        </is>
      </c>
      <c r="B10" s="6">
        <f>'Англ. язык'!E10</f>
        <v/>
      </c>
      <c r="C10" s="7">
        <f>'Астрономия'!E10</f>
        <v/>
      </c>
      <c r="D10" s="6">
        <f>'Биология'!E10</f>
        <v/>
      </c>
      <c r="E10" s="7">
        <f>'География'!E10</f>
        <v/>
      </c>
      <c r="F10" s="6">
        <f>'ИИ'!E10</f>
        <v/>
      </c>
      <c r="G10" s="7">
        <f>'Инф.без.'!E10</f>
        <v/>
      </c>
      <c r="H10" s="6">
        <f>'Искусство'!E10</f>
        <v/>
      </c>
      <c r="I10" s="7">
        <f>'Исп.язык'!E10</f>
        <v/>
      </c>
      <c r="J10" s="6">
        <f>'История'!E10</f>
        <v/>
      </c>
      <c r="K10" s="7">
        <f>'Итал.язык'!E10</f>
        <v/>
      </c>
      <c r="L10" s="6">
        <f>'Кит.язык'!E10</f>
        <v/>
      </c>
      <c r="M10" s="7">
        <f>'Литература'!E10</f>
        <v/>
      </c>
      <c r="N10" s="6">
        <f>'Математика'!E10</f>
        <v/>
      </c>
      <c r="O10" s="7">
        <f>'Нем.язык'!E10</f>
        <v/>
      </c>
      <c r="P10" s="6">
        <f>'ОБЗР'!E10</f>
        <v/>
      </c>
      <c r="Q10" s="7">
        <f>'Обществознание'!E10</f>
        <v/>
      </c>
      <c r="R10" s="6">
        <f>'Право'!E10</f>
        <v/>
      </c>
      <c r="S10" s="7">
        <f>'Программирование'!E10</f>
        <v/>
      </c>
      <c r="T10" s="6">
        <f>'Робототехника'!E10</f>
        <v/>
      </c>
      <c r="U10" s="7">
        <f>'Русский язык'!E10</f>
        <v/>
      </c>
      <c r="V10" s="6">
        <f>'Труд'!E10</f>
        <v/>
      </c>
      <c r="W10" s="7">
        <f>'Физ.культура'!E10</f>
        <v/>
      </c>
      <c r="X10" s="6">
        <f>'Физика'!E10</f>
        <v/>
      </c>
      <c r="Y10" s="7">
        <f>'Фран.язык'!E10</f>
        <v/>
      </c>
      <c r="Z10" s="6">
        <f>'Химия'!E10</f>
        <v/>
      </c>
      <c r="AA10" s="7">
        <f>'Экология'!E10</f>
        <v/>
      </c>
      <c r="AB10" s="6">
        <f>'Экономика'!E10</f>
        <v/>
      </c>
    </row>
    <row r="11">
      <c r="A11" s="5" t="inlineStr">
        <is>
          <t>5 Д</t>
        </is>
      </c>
      <c r="B11" s="6">
        <f>'Англ. язык'!E11</f>
        <v/>
      </c>
      <c r="C11" s="7">
        <f>'Астрономия'!E11</f>
        <v/>
      </c>
      <c r="D11" s="6">
        <f>'Биология'!E11</f>
        <v/>
      </c>
      <c r="E11" s="7">
        <f>'География'!E11</f>
        <v/>
      </c>
      <c r="F11" s="6">
        <f>'ИИ'!E11</f>
        <v/>
      </c>
      <c r="G11" s="7">
        <f>'Инф.без.'!E11</f>
        <v/>
      </c>
      <c r="H11" s="6">
        <f>'Искусство'!E11</f>
        <v/>
      </c>
      <c r="I11" s="7">
        <f>'Исп.язык'!E11</f>
        <v/>
      </c>
      <c r="J11" s="6">
        <f>'История'!E11</f>
        <v/>
      </c>
      <c r="K11" s="7">
        <f>'Итал.язык'!E11</f>
        <v/>
      </c>
      <c r="L11" s="6">
        <f>'Кит.язык'!E11</f>
        <v/>
      </c>
      <c r="M11" s="7">
        <f>'Литература'!E11</f>
        <v/>
      </c>
      <c r="N11" s="6">
        <f>'Математика'!E11</f>
        <v/>
      </c>
      <c r="O11" s="7">
        <f>'Нем.язык'!E11</f>
        <v/>
      </c>
      <c r="P11" s="6">
        <f>'ОБЗР'!E11</f>
        <v/>
      </c>
      <c r="Q11" s="7">
        <f>'Обществознание'!E11</f>
        <v/>
      </c>
      <c r="R11" s="6">
        <f>'Право'!E11</f>
        <v/>
      </c>
      <c r="S11" s="7">
        <f>'Программирование'!E11</f>
        <v/>
      </c>
      <c r="T11" s="6">
        <f>'Робототехника'!E11</f>
        <v/>
      </c>
      <c r="U11" s="7">
        <f>'Русский язык'!E11</f>
        <v/>
      </c>
      <c r="V11" s="6">
        <f>'Труд'!E11</f>
        <v/>
      </c>
      <c r="W11" s="7">
        <f>'Физ.культура'!E11</f>
        <v/>
      </c>
      <c r="X11" s="6">
        <f>'Физика'!E11</f>
        <v/>
      </c>
      <c r="Y11" s="7">
        <f>'Фран.язык'!E11</f>
        <v/>
      </c>
      <c r="Z11" s="6">
        <f>'Химия'!E11</f>
        <v/>
      </c>
      <c r="AA11" s="7">
        <f>'Экология'!E11</f>
        <v/>
      </c>
      <c r="AB11" s="6">
        <f>'Экономика'!E11</f>
        <v/>
      </c>
    </row>
    <row r="12">
      <c r="A12" s="5" t="inlineStr">
        <is>
          <t>6 А</t>
        </is>
      </c>
      <c r="B12" s="6">
        <f>'Англ. язык'!E12</f>
        <v/>
      </c>
      <c r="C12" s="7">
        <f>'Астрономия'!E12</f>
        <v/>
      </c>
      <c r="D12" s="6">
        <f>'Биология'!E12</f>
        <v/>
      </c>
      <c r="E12" s="7">
        <f>'География'!E12</f>
        <v/>
      </c>
      <c r="F12" s="6">
        <f>'ИИ'!E12</f>
        <v/>
      </c>
      <c r="G12" s="7">
        <f>'Инф.без.'!E12</f>
        <v/>
      </c>
      <c r="H12" s="6">
        <f>'Искусство'!E12</f>
        <v/>
      </c>
      <c r="I12" s="7">
        <f>'Исп.язык'!E12</f>
        <v/>
      </c>
      <c r="J12" s="6">
        <f>'История'!E12</f>
        <v/>
      </c>
      <c r="K12" s="7">
        <f>'Итал.язык'!E12</f>
        <v/>
      </c>
      <c r="L12" s="6">
        <f>'Кит.язык'!E12</f>
        <v/>
      </c>
      <c r="M12" s="7">
        <f>'Литература'!E12</f>
        <v/>
      </c>
      <c r="N12" s="6">
        <f>'Математика'!E12</f>
        <v/>
      </c>
      <c r="O12" s="7">
        <f>'Нем.язык'!E12</f>
        <v/>
      </c>
      <c r="P12" s="6">
        <f>'ОБЗР'!E12</f>
        <v/>
      </c>
      <c r="Q12" s="7">
        <f>'Обществознание'!E12</f>
        <v/>
      </c>
      <c r="R12" s="6">
        <f>'Право'!E12</f>
        <v/>
      </c>
      <c r="S12" s="7">
        <f>'Программирование'!E12</f>
        <v/>
      </c>
      <c r="T12" s="6">
        <f>'Робототехника'!E12</f>
        <v/>
      </c>
      <c r="U12" s="7">
        <f>'Русский язык'!E12</f>
        <v/>
      </c>
      <c r="V12" s="6">
        <f>'Труд'!E12</f>
        <v/>
      </c>
      <c r="W12" s="7">
        <f>'Физ.культура'!E12</f>
        <v/>
      </c>
      <c r="X12" s="6">
        <f>'Физика'!E12</f>
        <v/>
      </c>
      <c r="Y12" s="7">
        <f>'Фран.язык'!E12</f>
        <v/>
      </c>
      <c r="Z12" s="6">
        <f>'Химия'!E12</f>
        <v/>
      </c>
      <c r="AA12" s="7">
        <f>'Экология'!E12</f>
        <v/>
      </c>
      <c r="AB12" s="6">
        <f>'Экономика'!E12</f>
        <v/>
      </c>
    </row>
    <row r="13">
      <c r="A13" s="5" t="inlineStr">
        <is>
          <t>6 Б</t>
        </is>
      </c>
      <c r="B13" s="6">
        <f>'Англ. язык'!E13</f>
        <v/>
      </c>
      <c r="C13" s="7">
        <f>'Астрономия'!E13</f>
        <v/>
      </c>
      <c r="D13" s="6">
        <f>'Биология'!E13</f>
        <v/>
      </c>
      <c r="E13" s="7">
        <f>'География'!E13</f>
        <v/>
      </c>
      <c r="F13" s="6">
        <f>'ИИ'!E13</f>
        <v/>
      </c>
      <c r="G13" s="7">
        <f>'Инф.без.'!E13</f>
        <v/>
      </c>
      <c r="H13" s="6">
        <f>'Искусство'!E13</f>
        <v/>
      </c>
      <c r="I13" s="7">
        <f>'Исп.язык'!E13</f>
        <v/>
      </c>
      <c r="J13" s="6">
        <f>'История'!E13</f>
        <v/>
      </c>
      <c r="K13" s="7">
        <f>'Итал.язык'!E13</f>
        <v/>
      </c>
      <c r="L13" s="6">
        <f>'Кит.язык'!E13</f>
        <v/>
      </c>
      <c r="M13" s="7">
        <f>'Литература'!E13</f>
        <v/>
      </c>
      <c r="N13" s="6">
        <f>'Математика'!E13</f>
        <v/>
      </c>
      <c r="O13" s="7">
        <f>'Нем.язык'!E13</f>
        <v/>
      </c>
      <c r="P13" s="6">
        <f>'ОБЗР'!E13</f>
        <v/>
      </c>
      <c r="Q13" s="7">
        <f>'Обществознание'!E13</f>
        <v/>
      </c>
      <c r="R13" s="6">
        <f>'Право'!E13</f>
        <v/>
      </c>
      <c r="S13" s="7">
        <f>'Программирование'!E13</f>
        <v/>
      </c>
      <c r="T13" s="6">
        <f>'Робототехника'!E13</f>
        <v/>
      </c>
      <c r="U13" s="7">
        <f>'Русский язык'!E13</f>
        <v/>
      </c>
      <c r="V13" s="6">
        <f>'Труд'!E13</f>
        <v/>
      </c>
      <c r="W13" s="7">
        <f>'Физ.культура'!E13</f>
        <v/>
      </c>
      <c r="X13" s="6">
        <f>'Физика'!E13</f>
        <v/>
      </c>
      <c r="Y13" s="7">
        <f>'Фран.язык'!E13</f>
        <v/>
      </c>
      <c r="Z13" s="6">
        <f>'Химия'!E13</f>
        <v/>
      </c>
      <c r="AA13" s="7">
        <f>'Экология'!E13</f>
        <v/>
      </c>
      <c r="AB13" s="6">
        <f>'Экономика'!E13</f>
        <v/>
      </c>
    </row>
    <row r="14">
      <c r="A14" s="5" t="inlineStr">
        <is>
          <t>6 В</t>
        </is>
      </c>
      <c r="B14" s="6">
        <f>'Англ. язык'!E14</f>
        <v/>
      </c>
      <c r="C14" s="7">
        <f>'Астрономия'!E14</f>
        <v/>
      </c>
      <c r="D14" s="6">
        <f>'Биология'!E14</f>
        <v/>
      </c>
      <c r="E14" s="7">
        <f>'География'!E14</f>
        <v/>
      </c>
      <c r="F14" s="6">
        <f>'ИИ'!E14</f>
        <v/>
      </c>
      <c r="G14" s="7">
        <f>'Инф.без.'!E14</f>
        <v/>
      </c>
      <c r="H14" s="6">
        <f>'Искусство'!E14</f>
        <v/>
      </c>
      <c r="I14" s="7">
        <f>'Исп.язык'!E14</f>
        <v/>
      </c>
      <c r="J14" s="6">
        <f>'История'!E14</f>
        <v/>
      </c>
      <c r="K14" s="7">
        <f>'Итал.язык'!E14</f>
        <v/>
      </c>
      <c r="L14" s="6">
        <f>'Кит.язык'!E14</f>
        <v/>
      </c>
      <c r="M14" s="7">
        <f>'Литература'!E14</f>
        <v/>
      </c>
      <c r="N14" s="6">
        <f>'Математика'!E14</f>
        <v/>
      </c>
      <c r="O14" s="7">
        <f>'Нем.язык'!E14</f>
        <v/>
      </c>
      <c r="P14" s="6">
        <f>'ОБЗР'!E14</f>
        <v/>
      </c>
      <c r="Q14" s="7">
        <f>'Обществознание'!E14</f>
        <v/>
      </c>
      <c r="R14" s="6">
        <f>'Право'!E14</f>
        <v/>
      </c>
      <c r="S14" s="7">
        <f>'Программирование'!E14</f>
        <v/>
      </c>
      <c r="T14" s="6">
        <f>'Робототехника'!E14</f>
        <v/>
      </c>
      <c r="U14" s="7">
        <f>'Русский язык'!E14</f>
        <v/>
      </c>
      <c r="V14" s="6">
        <f>'Труд'!E14</f>
        <v/>
      </c>
      <c r="W14" s="7">
        <f>'Физ.культура'!E14</f>
        <v/>
      </c>
      <c r="X14" s="6">
        <f>'Физика'!E14</f>
        <v/>
      </c>
      <c r="Y14" s="7">
        <f>'Фран.язык'!E14</f>
        <v/>
      </c>
      <c r="Z14" s="6">
        <f>'Химия'!E14</f>
        <v/>
      </c>
      <c r="AA14" s="7">
        <f>'Экология'!E14</f>
        <v/>
      </c>
      <c r="AB14" s="6">
        <f>'Экономика'!E14</f>
        <v/>
      </c>
    </row>
    <row r="15">
      <c r="A15" s="5" t="inlineStr">
        <is>
          <t>6 Г</t>
        </is>
      </c>
      <c r="B15" s="6">
        <f>'Англ. язык'!E15</f>
        <v/>
      </c>
      <c r="C15" s="7">
        <f>'Астрономия'!E15</f>
        <v/>
      </c>
      <c r="D15" s="6">
        <f>'Биология'!E15</f>
        <v/>
      </c>
      <c r="E15" s="7">
        <f>'География'!E15</f>
        <v/>
      </c>
      <c r="F15" s="6">
        <f>'ИИ'!E15</f>
        <v/>
      </c>
      <c r="G15" s="7">
        <f>'Инф.без.'!E15</f>
        <v/>
      </c>
      <c r="H15" s="6">
        <f>'Искусство'!E15</f>
        <v/>
      </c>
      <c r="I15" s="7">
        <f>'Исп.язык'!E15</f>
        <v/>
      </c>
      <c r="J15" s="6">
        <f>'История'!E15</f>
        <v/>
      </c>
      <c r="K15" s="7">
        <f>'Итал.язык'!E15</f>
        <v/>
      </c>
      <c r="L15" s="6">
        <f>'Кит.язык'!E15</f>
        <v/>
      </c>
      <c r="M15" s="7">
        <f>'Литература'!E15</f>
        <v/>
      </c>
      <c r="N15" s="6">
        <f>'Математика'!E15</f>
        <v/>
      </c>
      <c r="O15" s="7">
        <f>'Нем.язык'!E15</f>
        <v/>
      </c>
      <c r="P15" s="6">
        <f>'ОБЗР'!E15</f>
        <v/>
      </c>
      <c r="Q15" s="7">
        <f>'Обществознание'!E15</f>
        <v/>
      </c>
      <c r="R15" s="6">
        <f>'Право'!E15</f>
        <v/>
      </c>
      <c r="S15" s="7">
        <f>'Программирование'!E15</f>
        <v/>
      </c>
      <c r="T15" s="6">
        <f>'Робототехника'!E15</f>
        <v/>
      </c>
      <c r="U15" s="7">
        <f>'Русский язык'!E15</f>
        <v/>
      </c>
      <c r="V15" s="6">
        <f>'Труд'!E15</f>
        <v/>
      </c>
      <c r="W15" s="7">
        <f>'Физ.культура'!E15</f>
        <v/>
      </c>
      <c r="X15" s="6">
        <f>'Физика'!E15</f>
        <v/>
      </c>
      <c r="Y15" s="7">
        <f>'Фран.язык'!E15</f>
        <v/>
      </c>
      <c r="Z15" s="6">
        <f>'Химия'!E15</f>
        <v/>
      </c>
      <c r="AA15" s="7">
        <f>'Экология'!E15</f>
        <v/>
      </c>
      <c r="AB15" s="6">
        <f>'Экономика'!E15</f>
        <v/>
      </c>
    </row>
    <row r="16">
      <c r="A16" s="5" t="inlineStr">
        <is>
          <t>6 Д</t>
        </is>
      </c>
      <c r="B16" s="6">
        <f>'Англ. язык'!E16</f>
        <v/>
      </c>
      <c r="C16" s="7">
        <f>'Астрономия'!E16</f>
        <v/>
      </c>
      <c r="D16" s="6">
        <f>'Биология'!E16</f>
        <v/>
      </c>
      <c r="E16" s="7">
        <f>'География'!E16</f>
        <v/>
      </c>
      <c r="F16" s="6">
        <f>'ИИ'!E16</f>
        <v/>
      </c>
      <c r="G16" s="7">
        <f>'Инф.без.'!E16</f>
        <v/>
      </c>
      <c r="H16" s="6">
        <f>'Искусство'!E16</f>
        <v/>
      </c>
      <c r="I16" s="7">
        <f>'Исп.язык'!E16</f>
        <v/>
      </c>
      <c r="J16" s="6">
        <f>'История'!E16</f>
        <v/>
      </c>
      <c r="K16" s="7">
        <f>'Итал.язык'!E16</f>
        <v/>
      </c>
      <c r="L16" s="6">
        <f>'Кит.язык'!E16</f>
        <v/>
      </c>
      <c r="M16" s="7">
        <f>'Литература'!E16</f>
        <v/>
      </c>
      <c r="N16" s="6">
        <f>'Математика'!E16</f>
        <v/>
      </c>
      <c r="O16" s="7">
        <f>'Нем.язык'!E16</f>
        <v/>
      </c>
      <c r="P16" s="6">
        <f>'ОБЗР'!E16</f>
        <v/>
      </c>
      <c r="Q16" s="7">
        <f>'Обществознание'!E16</f>
        <v/>
      </c>
      <c r="R16" s="6">
        <f>'Право'!E16</f>
        <v/>
      </c>
      <c r="S16" s="7">
        <f>'Программирование'!E16</f>
        <v/>
      </c>
      <c r="T16" s="6">
        <f>'Робототехника'!E16</f>
        <v/>
      </c>
      <c r="U16" s="7">
        <f>'Русский язык'!E16</f>
        <v/>
      </c>
      <c r="V16" s="6">
        <f>'Труд'!E16</f>
        <v/>
      </c>
      <c r="W16" s="7">
        <f>'Физ.культура'!E16</f>
        <v/>
      </c>
      <c r="X16" s="6">
        <f>'Физика'!E16</f>
        <v/>
      </c>
      <c r="Y16" s="7">
        <f>'Фран.язык'!E16</f>
        <v/>
      </c>
      <c r="Z16" s="6">
        <f>'Химия'!E16</f>
        <v/>
      </c>
      <c r="AA16" s="7">
        <f>'Экология'!E16</f>
        <v/>
      </c>
      <c r="AB16" s="6">
        <f>'Экономика'!E16</f>
        <v/>
      </c>
    </row>
    <row r="17">
      <c r="A17" s="5" t="inlineStr">
        <is>
          <t>7 А</t>
        </is>
      </c>
      <c r="B17" s="6">
        <f>'Англ. язык'!E17</f>
        <v/>
      </c>
      <c r="C17" s="7">
        <f>'Астрономия'!E17</f>
        <v/>
      </c>
      <c r="D17" s="6">
        <f>'Биология'!E17</f>
        <v/>
      </c>
      <c r="E17" s="7">
        <f>'География'!E17</f>
        <v/>
      </c>
      <c r="F17" s="6">
        <f>'ИИ'!E17</f>
        <v/>
      </c>
      <c r="G17" s="7">
        <f>'Инф.без.'!E17</f>
        <v/>
      </c>
      <c r="H17" s="6">
        <f>'Искусство'!E17</f>
        <v/>
      </c>
      <c r="I17" s="7">
        <f>'Исп.язык'!E17</f>
        <v/>
      </c>
      <c r="J17" s="6">
        <f>'История'!E17</f>
        <v/>
      </c>
      <c r="K17" s="7">
        <f>'Итал.язык'!E17</f>
        <v/>
      </c>
      <c r="L17" s="6">
        <f>'Кит.язык'!E17</f>
        <v/>
      </c>
      <c r="M17" s="7">
        <f>'Литература'!E17</f>
        <v/>
      </c>
      <c r="N17" s="6">
        <f>'Математика'!E17</f>
        <v/>
      </c>
      <c r="O17" s="7">
        <f>'Нем.язык'!E17</f>
        <v/>
      </c>
      <c r="P17" s="6">
        <f>'ОБЗР'!E17</f>
        <v/>
      </c>
      <c r="Q17" s="7">
        <f>'Обществознание'!E17</f>
        <v/>
      </c>
      <c r="R17" s="6">
        <f>'Право'!E17</f>
        <v/>
      </c>
      <c r="S17" s="7">
        <f>'Программирование'!E17</f>
        <v/>
      </c>
      <c r="T17" s="6">
        <f>'Робототехника'!E17</f>
        <v/>
      </c>
      <c r="U17" s="7">
        <f>'Русский язык'!E17</f>
        <v/>
      </c>
      <c r="V17" s="6">
        <f>'Труд'!E17</f>
        <v/>
      </c>
      <c r="W17" s="7">
        <f>'Физ.культура'!E17</f>
        <v/>
      </c>
      <c r="X17" s="6">
        <f>'Физика'!E17</f>
        <v/>
      </c>
      <c r="Y17" s="7">
        <f>'Фран.язык'!E17</f>
        <v/>
      </c>
      <c r="Z17" s="6">
        <f>'Химия'!E17</f>
        <v/>
      </c>
      <c r="AA17" s="7">
        <f>'Экология'!E17</f>
        <v/>
      </c>
      <c r="AB17" s="6">
        <f>'Экономика'!E17</f>
        <v/>
      </c>
    </row>
    <row r="18">
      <c r="A18" s="5" t="inlineStr">
        <is>
          <t>7 Б</t>
        </is>
      </c>
      <c r="B18" s="6">
        <f>'Англ. язык'!E18</f>
        <v/>
      </c>
      <c r="C18" s="7">
        <f>'Астрономия'!E18</f>
        <v/>
      </c>
      <c r="D18" s="6">
        <f>'Биология'!E18</f>
        <v/>
      </c>
      <c r="E18" s="7">
        <f>'География'!E18</f>
        <v/>
      </c>
      <c r="F18" s="6">
        <f>'ИИ'!E18</f>
        <v/>
      </c>
      <c r="G18" s="7">
        <f>'Инф.без.'!E18</f>
        <v/>
      </c>
      <c r="H18" s="6">
        <f>'Искусство'!E18</f>
        <v/>
      </c>
      <c r="I18" s="7">
        <f>'Исп.язык'!E18</f>
        <v/>
      </c>
      <c r="J18" s="6">
        <f>'История'!E18</f>
        <v/>
      </c>
      <c r="K18" s="7">
        <f>'Итал.язык'!E18</f>
        <v/>
      </c>
      <c r="L18" s="6">
        <f>'Кит.язык'!E18</f>
        <v/>
      </c>
      <c r="M18" s="7">
        <f>'Литература'!E18</f>
        <v/>
      </c>
      <c r="N18" s="6">
        <f>'Математика'!E18</f>
        <v/>
      </c>
      <c r="O18" s="7">
        <f>'Нем.язык'!E18</f>
        <v/>
      </c>
      <c r="P18" s="6">
        <f>'ОБЗР'!E18</f>
        <v/>
      </c>
      <c r="Q18" s="7">
        <f>'Обществознание'!E18</f>
        <v/>
      </c>
      <c r="R18" s="6">
        <f>'Право'!E18</f>
        <v/>
      </c>
      <c r="S18" s="7">
        <f>'Программирование'!E18</f>
        <v/>
      </c>
      <c r="T18" s="6">
        <f>'Робототехника'!E18</f>
        <v/>
      </c>
      <c r="U18" s="7">
        <f>'Русский язык'!E18</f>
        <v/>
      </c>
      <c r="V18" s="6">
        <f>'Труд'!E18</f>
        <v/>
      </c>
      <c r="W18" s="7">
        <f>'Физ.культура'!E18</f>
        <v/>
      </c>
      <c r="X18" s="6">
        <f>'Физика'!E18</f>
        <v/>
      </c>
      <c r="Y18" s="7">
        <f>'Фран.язык'!E18</f>
        <v/>
      </c>
      <c r="Z18" s="6">
        <f>'Химия'!E18</f>
        <v/>
      </c>
      <c r="AA18" s="7">
        <f>'Экология'!E18</f>
        <v/>
      </c>
      <c r="AB18" s="6">
        <f>'Экономика'!E18</f>
        <v/>
      </c>
    </row>
    <row r="19">
      <c r="A19" s="5" t="inlineStr">
        <is>
          <t>7 В</t>
        </is>
      </c>
      <c r="B19" s="6">
        <f>'Англ. язык'!E19</f>
        <v/>
      </c>
      <c r="C19" s="7">
        <f>'Астрономия'!E19</f>
        <v/>
      </c>
      <c r="D19" s="6">
        <f>'Биология'!E19</f>
        <v/>
      </c>
      <c r="E19" s="7">
        <f>'География'!E19</f>
        <v/>
      </c>
      <c r="F19" s="6">
        <f>'ИИ'!E19</f>
        <v/>
      </c>
      <c r="G19" s="7">
        <f>'Инф.без.'!E19</f>
        <v/>
      </c>
      <c r="H19" s="6">
        <f>'Искусство'!E19</f>
        <v/>
      </c>
      <c r="I19" s="7">
        <f>'Исп.язык'!E19</f>
        <v/>
      </c>
      <c r="J19" s="6">
        <f>'История'!E19</f>
        <v/>
      </c>
      <c r="K19" s="7">
        <f>'Итал.язык'!E19</f>
        <v/>
      </c>
      <c r="L19" s="6">
        <f>'Кит.язык'!E19</f>
        <v/>
      </c>
      <c r="M19" s="7">
        <f>'Литература'!E19</f>
        <v/>
      </c>
      <c r="N19" s="6">
        <f>'Математика'!E19</f>
        <v/>
      </c>
      <c r="O19" s="7">
        <f>'Нем.язык'!E19</f>
        <v/>
      </c>
      <c r="P19" s="6">
        <f>'ОБЗР'!E19</f>
        <v/>
      </c>
      <c r="Q19" s="7">
        <f>'Обществознание'!E19</f>
        <v/>
      </c>
      <c r="R19" s="6">
        <f>'Право'!E19</f>
        <v/>
      </c>
      <c r="S19" s="7">
        <f>'Программирование'!E19</f>
        <v/>
      </c>
      <c r="T19" s="6">
        <f>'Робототехника'!E19</f>
        <v/>
      </c>
      <c r="U19" s="7">
        <f>'Русский язык'!E19</f>
        <v/>
      </c>
      <c r="V19" s="6">
        <f>'Труд'!E19</f>
        <v/>
      </c>
      <c r="W19" s="7">
        <f>'Физ.культура'!E19</f>
        <v/>
      </c>
      <c r="X19" s="6">
        <f>'Физика'!E19</f>
        <v/>
      </c>
      <c r="Y19" s="7">
        <f>'Фран.язык'!E19</f>
        <v/>
      </c>
      <c r="Z19" s="6">
        <f>'Химия'!E19</f>
        <v/>
      </c>
      <c r="AA19" s="7">
        <f>'Экология'!E19</f>
        <v/>
      </c>
      <c r="AB19" s="6">
        <f>'Экономика'!E19</f>
        <v/>
      </c>
    </row>
    <row r="20">
      <c r="A20" s="5" t="inlineStr">
        <is>
          <t>7 Г</t>
        </is>
      </c>
      <c r="B20" s="6">
        <f>'Англ. язык'!E20</f>
        <v/>
      </c>
      <c r="C20" s="7">
        <f>'Астрономия'!E20</f>
        <v/>
      </c>
      <c r="D20" s="6">
        <f>'Биология'!E20</f>
        <v/>
      </c>
      <c r="E20" s="7">
        <f>'География'!E20</f>
        <v/>
      </c>
      <c r="F20" s="6">
        <f>'ИИ'!E20</f>
        <v/>
      </c>
      <c r="G20" s="7">
        <f>'Инф.без.'!E20</f>
        <v/>
      </c>
      <c r="H20" s="6">
        <f>'Искусство'!E20</f>
        <v/>
      </c>
      <c r="I20" s="7">
        <f>'Исп.язык'!E20</f>
        <v/>
      </c>
      <c r="J20" s="6">
        <f>'История'!E20</f>
        <v/>
      </c>
      <c r="K20" s="7">
        <f>'Итал.язык'!E20</f>
        <v/>
      </c>
      <c r="L20" s="6">
        <f>'Кит.язык'!E20</f>
        <v/>
      </c>
      <c r="M20" s="7">
        <f>'Литература'!E20</f>
        <v/>
      </c>
      <c r="N20" s="6">
        <f>'Математика'!E20</f>
        <v/>
      </c>
      <c r="O20" s="7">
        <f>'Нем.язык'!E20</f>
        <v/>
      </c>
      <c r="P20" s="6">
        <f>'ОБЗР'!E20</f>
        <v/>
      </c>
      <c r="Q20" s="7">
        <f>'Обществознание'!E20</f>
        <v/>
      </c>
      <c r="R20" s="6">
        <f>'Право'!E20</f>
        <v/>
      </c>
      <c r="S20" s="7">
        <f>'Программирование'!E20</f>
        <v/>
      </c>
      <c r="T20" s="6">
        <f>'Робототехника'!E20</f>
        <v/>
      </c>
      <c r="U20" s="7">
        <f>'Русский язык'!E20</f>
        <v/>
      </c>
      <c r="V20" s="6">
        <f>'Труд'!E20</f>
        <v/>
      </c>
      <c r="W20" s="7">
        <f>'Физ.культура'!E20</f>
        <v/>
      </c>
      <c r="X20" s="6">
        <f>'Физика'!E20</f>
        <v/>
      </c>
      <c r="Y20" s="7">
        <f>'Фран.язык'!E20</f>
        <v/>
      </c>
      <c r="Z20" s="6">
        <f>'Химия'!E20</f>
        <v/>
      </c>
      <c r="AA20" s="7">
        <f>'Экология'!E20</f>
        <v/>
      </c>
      <c r="AB20" s="6">
        <f>'Экономика'!E20</f>
        <v/>
      </c>
    </row>
    <row r="21">
      <c r="A21" s="5" t="inlineStr">
        <is>
          <t>8 А</t>
        </is>
      </c>
      <c r="B21" s="6">
        <f>'Англ. язык'!E21</f>
        <v/>
      </c>
      <c r="C21" s="7">
        <f>'Астрономия'!E21</f>
        <v/>
      </c>
      <c r="D21" s="6">
        <f>'Биология'!E21</f>
        <v/>
      </c>
      <c r="E21" s="7">
        <f>'География'!E21</f>
        <v/>
      </c>
      <c r="F21" s="6">
        <f>'ИИ'!E21</f>
        <v/>
      </c>
      <c r="G21" s="7">
        <f>'Инф.без.'!E21</f>
        <v/>
      </c>
      <c r="H21" s="6">
        <f>'Искусство'!E21</f>
        <v/>
      </c>
      <c r="I21" s="7">
        <f>'Исп.язык'!E21</f>
        <v/>
      </c>
      <c r="J21" s="6">
        <f>'История'!E21</f>
        <v/>
      </c>
      <c r="K21" s="7">
        <f>'Итал.язык'!E21</f>
        <v/>
      </c>
      <c r="L21" s="6">
        <f>'Кит.язык'!E21</f>
        <v/>
      </c>
      <c r="M21" s="7">
        <f>'Литература'!E21</f>
        <v/>
      </c>
      <c r="N21" s="6">
        <f>'Математика'!E21</f>
        <v/>
      </c>
      <c r="O21" s="7">
        <f>'Нем.язык'!E21</f>
        <v/>
      </c>
      <c r="P21" s="6">
        <f>'ОБЗР'!E21</f>
        <v/>
      </c>
      <c r="Q21" s="7">
        <f>'Обществознание'!E21</f>
        <v/>
      </c>
      <c r="R21" s="6">
        <f>'Право'!E21</f>
        <v/>
      </c>
      <c r="S21" s="7">
        <f>'Программирование'!E21</f>
        <v/>
      </c>
      <c r="T21" s="6">
        <f>'Робототехника'!E21</f>
        <v/>
      </c>
      <c r="U21" s="7">
        <f>'Русский язык'!E21</f>
        <v/>
      </c>
      <c r="V21" s="6">
        <f>'Труд'!E21</f>
        <v/>
      </c>
      <c r="W21" s="7">
        <f>'Физ.культура'!E21</f>
        <v/>
      </c>
      <c r="X21" s="6">
        <f>'Физика'!E21</f>
        <v/>
      </c>
      <c r="Y21" s="7">
        <f>'Фран.язык'!E21</f>
        <v/>
      </c>
      <c r="Z21" s="6">
        <f>'Химия'!E21</f>
        <v/>
      </c>
      <c r="AA21" s="7">
        <f>'Экология'!E21</f>
        <v/>
      </c>
      <c r="AB21" s="6">
        <f>'Экономика'!E21</f>
        <v/>
      </c>
    </row>
    <row r="22">
      <c r="A22" s="5" t="inlineStr">
        <is>
          <t>8 Б</t>
        </is>
      </c>
      <c r="B22" s="6">
        <f>'Англ. язык'!E22</f>
        <v/>
      </c>
      <c r="C22" s="7">
        <f>'Астрономия'!E22</f>
        <v/>
      </c>
      <c r="D22" s="6">
        <f>'Биология'!E22</f>
        <v/>
      </c>
      <c r="E22" s="7">
        <f>'География'!E22</f>
        <v/>
      </c>
      <c r="F22" s="6">
        <f>'ИИ'!E22</f>
        <v/>
      </c>
      <c r="G22" s="7">
        <f>'Инф.без.'!E22</f>
        <v/>
      </c>
      <c r="H22" s="6">
        <f>'Искусство'!E22</f>
        <v/>
      </c>
      <c r="I22" s="7">
        <f>'Исп.язык'!E22</f>
        <v/>
      </c>
      <c r="J22" s="6">
        <f>'История'!E22</f>
        <v/>
      </c>
      <c r="K22" s="7">
        <f>'Итал.язык'!E22</f>
        <v/>
      </c>
      <c r="L22" s="6">
        <f>'Кит.язык'!E22</f>
        <v/>
      </c>
      <c r="M22" s="7">
        <f>'Литература'!E22</f>
        <v/>
      </c>
      <c r="N22" s="6">
        <f>'Математика'!E22</f>
        <v/>
      </c>
      <c r="O22" s="7">
        <f>'Нем.язык'!E22</f>
        <v/>
      </c>
      <c r="P22" s="6">
        <f>'ОБЗР'!E22</f>
        <v/>
      </c>
      <c r="Q22" s="7">
        <f>'Обществознание'!E22</f>
        <v/>
      </c>
      <c r="R22" s="6">
        <f>'Право'!E22</f>
        <v/>
      </c>
      <c r="S22" s="7">
        <f>'Программирование'!E22</f>
        <v/>
      </c>
      <c r="T22" s="6">
        <f>'Робототехника'!E22</f>
        <v/>
      </c>
      <c r="U22" s="7">
        <f>'Русский язык'!E22</f>
        <v/>
      </c>
      <c r="V22" s="6">
        <f>'Труд'!E22</f>
        <v/>
      </c>
      <c r="W22" s="7">
        <f>'Физ.культура'!E22</f>
        <v/>
      </c>
      <c r="X22" s="6">
        <f>'Физика'!E22</f>
        <v/>
      </c>
      <c r="Y22" s="7">
        <f>'Фран.язык'!E22</f>
        <v/>
      </c>
      <c r="Z22" s="6">
        <f>'Химия'!E22</f>
        <v/>
      </c>
      <c r="AA22" s="7">
        <f>'Экология'!E22</f>
        <v/>
      </c>
      <c r="AB22" s="6">
        <f>'Экономика'!E22</f>
        <v/>
      </c>
    </row>
    <row r="23">
      <c r="A23" s="5" t="inlineStr">
        <is>
          <t>8 В</t>
        </is>
      </c>
      <c r="B23" s="6">
        <f>'Англ. язык'!E23</f>
        <v/>
      </c>
      <c r="C23" s="7">
        <f>'Астрономия'!E23</f>
        <v/>
      </c>
      <c r="D23" s="6">
        <f>'Биология'!E23</f>
        <v/>
      </c>
      <c r="E23" s="7">
        <f>'География'!E23</f>
        <v/>
      </c>
      <c r="F23" s="6">
        <f>'ИИ'!E23</f>
        <v/>
      </c>
      <c r="G23" s="7">
        <f>'Инф.без.'!E23</f>
        <v/>
      </c>
      <c r="H23" s="6">
        <f>'Искусство'!E23</f>
        <v/>
      </c>
      <c r="I23" s="7">
        <f>'Исп.язык'!E23</f>
        <v/>
      </c>
      <c r="J23" s="6">
        <f>'История'!E23</f>
        <v/>
      </c>
      <c r="K23" s="7">
        <f>'Итал.язык'!E23</f>
        <v/>
      </c>
      <c r="L23" s="6">
        <f>'Кит.язык'!E23</f>
        <v/>
      </c>
      <c r="M23" s="7">
        <f>'Литература'!E23</f>
        <v/>
      </c>
      <c r="N23" s="6">
        <f>'Математика'!E23</f>
        <v/>
      </c>
      <c r="O23" s="7">
        <f>'Нем.язык'!E23</f>
        <v/>
      </c>
      <c r="P23" s="6">
        <f>'ОБЗР'!E23</f>
        <v/>
      </c>
      <c r="Q23" s="7">
        <f>'Обществознание'!E23</f>
        <v/>
      </c>
      <c r="R23" s="6">
        <f>'Право'!E23</f>
        <v/>
      </c>
      <c r="S23" s="7">
        <f>'Программирование'!E23</f>
        <v/>
      </c>
      <c r="T23" s="6">
        <f>'Робототехника'!E23</f>
        <v/>
      </c>
      <c r="U23" s="7">
        <f>'Русский язык'!E23</f>
        <v/>
      </c>
      <c r="V23" s="6">
        <f>'Труд'!E23</f>
        <v/>
      </c>
      <c r="W23" s="7">
        <f>'Физ.культура'!E23</f>
        <v/>
      </c>
      <c r="X23" s="6">
        <f>'Физика'!E23</f>
        <v/>
      </c>
      <c r="Y23" s="7">
        <f>'Фран.язык'!E23</f>
        <v/>
      </c>
      <c r="Z23" s="6">
        <f>'Химия'!E23</f>
        <v/>
      </c>
      <c r="AA23" s="7">
        <f>'Экология'!E23</f>
        <v/>
      </c>
      <c r="AB23" s="6">
        <f>'Экономика'!E23</f>
        <v/>
      </c>
    </row>
    <row r="24">
      <c r="A24" s="5" t="inlineStr">
        <is>
          <t>9 А</t>
        </is>
      </c>
      <c r="B24" s="6">
        <f>'Англ. язык'!E24</f>
        <v/>
      </c>
      <c r="C24" s="7">
        <f>'Астрономия'!E24</f>
        <v/>
      </c>
      <c r="D24" s="6">
        <f>'Биология'!E24</f>
        <v/>
      </c>
      <c r="E24" s="7">
        <f>'География'!E24</f>
        <v/>
      </c>
      <c r="F24" s="6">
        <f>'ИИ'!E24</f>
        <v/>
      </c>
      <c r="G24" s="7">
        <f>'Инф.без.'!E24</f>
        <v/>
      </c>
      <c r="H24" s="6">
        <f>'Искусство'!E24</f>
        <v/>
      </c>
      <c r="I24" s="7">
        <f>'Исп.язык'!E24</f>
        <v/>
      </c>
      <c r="J24" s="6">
        <f>'История'!E24</f>
        <v/>
      </c>
      <c r="K24" s="7">
        <f>'Итал.язык'!E24</f>
        <v/>
      </c>
      <c r="L24" s="6">
        <f>'Кит.язык'!E24</f>
        <v/>
      </c>
      <c r="M24" s="7">
        <f>'Литература'!E24</f>
        <v/>
      </c>
      <c r="N24" s="6">
        <f>'Математика'!E24</f>
        <v/>
      </c>
      <c r="O24" s="7">
        <f>'Нем.язык'!E24</f>
        <v/>
      </c>
      <c r="P24" s="6">
        <f>'ОБЗР'!E24</f>
        <v/>
      </c>
      <c r="Q24" s="7">
        <f>'Обществознание'!E24</f>
        <v/>
      </c>
      <c r="R24" s="6">
        <f>'Право'!E24</f>
        <v/>
      </c>
      <c r="S24" s="7">
        <f>'Программирование'!E24</f>
        <v/>
      </c>
      <c r="T24" s="6">
        <f>'Робототехника'!E24</f>
        <v/>
      </c>
      <c r="U24" s="7">
        <f>'Русский язык'!E24</f>
        <v/>
      </c>
      <c r="V24" s="6">
        <f>'Труд'!E24</f>
        <v/>
      </c>
      <c r="W24" s="7">
        <f>'Физ.культура'!E24</f>
        <v/>
      </c>
      <c r="X24" s="6">
        <f>'Физика'!E24</f>
        <v/>
      </c>
      <c r="Y24" s="7">
        <f>'Фран.язык'!E24</f>
        <v/>
      </c>
      <c r="Z24" s="6">
        <f>'Химия'!E24</f>
        <v/>
      </c>
      <c r="AA24" s="7">
        <f>'Экология'!E24</f>
        <v/>
      </c>
      <c r="AB24" s="6">
        <f>'Экономика'!E24</f>
        <v/>
      </c>
    </row>
    <row r="25">
      <c r="A25" s="5" t="inlineStr">
        <is>
          <t>9 Б</t>
        </is>
      </c>
      <c r="B25" s="6">
        <f>'Англ. язык'!E25</f>
        <v/>
      </c>
      <c r="C25" s="7">
        <f>'Астрономия'!E25</f>
        <v/>
      </c>
      <c r="D25" s="6">
        <f>'Биология'!E25</f>
        <v/>
      </c>
      <c r="E25" s="7">
        <f>'География'!E25</f>
        <v/>
      </c>
      <c r="F25" s="6">
        <f>'ИИ'!E25</f>
        <v/>
      </c>
      <c r="G25" s="7">
        <f>'Инф.без.'!E25</f>
        <v/>
      </c>
      <c r="H25" s="6">
        <f>'Искусство'!E25</f>
        <v/>
      </c>
      <c r="I25" s="7">
        <f>'Исп.язык'!E25</f>
        <v/>
      </c>
      <c r="J25" s="6">
        <f>'История'!E25</f>
        <v/>
      </c>
      <c r="K25" s="7">
        <f>'Итал.язык'!E25</f>
        <v/>
      </c>
      <c r="L25" s="6">
        <f>'Кит.язык'!E25</f>
        <v/>
      </c>
      <c r="M25" s="7">
        <f>'Литература'!E25</f>
        <v/>
      </c>
      <c r="N25" s="6">
        <f>'Математика'!E25</f>
        <v/>
      </c>
      <c r="O25" s="7">
        <f>'Нем.язык'!E25</f>
        <v/>
      </c>
      <c r="P25" s="6">
        <f>'ОБЗР'!E25</f>
        <v/>
      </c>
      <c r="Q25" s="7">
        <f>'Обществознание'!E25</f>
        <v/>
      </c>
      <c r="R25" s="6">
        <f>'Право'!E25</f>
        <v/>
      </c>
      <c r="S25" s="7">
        <f>'Программирование'!E25</f>
        <v/>
      </c>
      <c r="T25" s="6">
        <f>'Робототехника'!E25</f>
        <v/>
      </c>
      <c r="U25" s="7">
        <f>'Русский язык'!E25</f>
        <v/>
      </c>
      <c r="V25" s="6">
        <f>'Труд'!E25</f>
        <v/>
      </c>
      <c r="W25" s="7">
        <f>'Физ.культура'!E25</f>
        <v/>
      </c>
      <c r="X25" s="6">
        <f>'Физика'!E25</f>
        <v/>
      </c>
      <c r="Y25" s="7">
        <f>'Фран.язык'!E25</f>
        <v/>
      </c>
      <c r="Z25" s="6">
        <f>'Химия'!E25</f>
        <v/>
      </c>
      <c r="AA25" s="7">
        <f>'Экология'!E25</f>
        <v/>
      </c>
      <c r="AB25" s="6">
        <f>'Экономика'!E25</f>
        <v/>
      </c>
    </row>
    <row r="26">
      <c r="A26" s="5" t="inlineStr">
        <is>
          <t>9 В</t>
        </is>
      </c>
      <c r="B26" s="6">
        <f>'Англ. язык'!E26</f>
        <v/>
      </c>
      <c r="C26" s="7">
        <f>'Астрономия'!E26</f>
        <v/>
      </c>
      <c r="D26" s="6">
        <f>'Биология'!E26</f>
        <v/>
      </c>
      <c r="E26" s="7">
        <f>'География'!E26</f>
        <v/>
      </c>
      <c r="F26" s="6">
        <f>'ИИ'!E26</f>
        <v/>
      </c>
      <c r="G26" s="7">
        <f>'Инф.без.'!E26</f>
        <v/>
      </c>
      <c r="H26" s="6">
        <f>'Искусство'!E26</f>
        <v/>
      </c>
      <c r="I26" s="7">
        <f>'Исп.язык'!E26</f>
        <v/>
      </c>
      <c r="J26" s="6">
        <f>'История'!E26</f>
        <v/>
      </c>
      <c r="K26" s="7">
        <f>'Итал.язык'!E26</f>
        <v/>
      </c>
      <c r="L26" s="6">
        <f>'Кит.язык'!E26</f>
        <v/>
      </c>
      <c r="M26" s="7">
        <f>'Литература'!E26</f>
        <v/>
      </c>
      <c r="N26" s="6">
        <f>'Математика'!E26</f>
        <v/>
      </c>
      <c r="O26" s="7">
        <f>'Нем.язык'!E26</f>
        <v/>
      </c>
      <c r="P26" s="6">
        <f>'ОБЗР'!E26</f>
        <v/>
      </c>
      <c r="Q26" s="7">
        <f>'Обществознание'!E26</f>
        <v/>
      </c>
      <c r="R26" s="6">
        <f>'Право'!E26</f>
        <v/>
      </c>
      <c r="S26" s="7">
        <f>'Программирование'!E26</f>
        <v/>
      </c>
      <c r="T26" s="6">
        <f>'Робототехника'!E26</f>
        <v/>
      </c>
      <c r="U26" s="7">
        <f>'Русский язык'!E26</f>
        <v/>
      </c>
      <c r="V26" s="6">
        <f>'Труд'!E26</f>
        <v/>
      </c>
      <c r="W26" s="7">
        <f>'Физ.культура'!E26</f>
        <v/>
      </c>
      <c r="X26" s="6">
        <f>'Физика'!E26</f>
        <v/>
      </c>
      <c r="Y26" s="7">
        <f>'Фран.язык'!E26</f>
        <v/>
      </c>
      <c r="Z26" s="6">
        <f>'Химия'!E26</f>
        <v/>
      </c>
      <c r="AA26" s="7">
        <f>'Экология'!E26</f>
        <v/>
      </c>
      <c r="AB26" s="6">
        <f>'Экономика'!E26</f>
        <v/>
      </c>
    </row>
    <row r="27">
      <c r="A27" s="5" t="inlineStr">
        <is>
          <t>9 Г</t>
        </is>
      </c>
      <c r="B27" s="6">
        <f>'Англ. язык'!E27</f>
        <v/>
      </c>
      <c r="C27" s="7">
        <f>'Астрономия'!E27</f>
        <v/>
      </c>
      <c r="D27" s="6">
        <f>'Биология'!E27</f>
        <v/>
      </c>
      <c r="E27" s="7">
        <f>'География'!E27</f>
        <v/>
      </c>
      <c r="F27" s="6">
        <f>'ИИ'!E27</f>
        <v/>
      </c>
      <c r="G27" s="7">
        <f>'Инф.без.'!E27</f>
        <v/>
      </c>
      <c r="H27" s="6">
        <f>'Искусство'!E27</f>
        <v/>
      </c>
      <c r="I27" s="7">
        <f>'Исп.язык'!E27</f>
        <v/>
      </c>
      <c r="J27" s="6">
        <f>'История'!E27</f>
        <v/>
      </c>
      <c r="K27" s="7">
        <f>'Итал.язык'!E27</f>
        <v/>
      </c>
      <c r="L27" s="6">
        <f>'Кит.язык'!E27</f>
        <v/>
      </c>
      <c r="M27" s="7">
        <f>'Литература'!E27</f>
        <v/>
      </c>
      <c r="N27" s="6">
        <f>'Математика'!E27</f>
        <v/>
      </c>
      <c r="O27" s="7">
        <f>'Нем.язык'!E27</f>
        <v/>
      </c>
      <c r="P27" s="6">
        <f>'ОБЗР'!E27</f>
        <v/>
      </c>
      <c r="Q27" s="7">
        <f>'Обществознание'!E27</f>
        <v/>
      </c>
      <c r="R27" s="6">
        <f>'Право'!E27</f>
        <v/>
      </c>
      <c r="S27" s="7">
        <f>'Программирование'!E27</f>
        <v/>
      </c>
      <c r="T27" s="6">
        <f>'Робототехника'!E27</f>
        <v/>
      </c>
      <c r="U27" s="7">
        <f>'Русский язык'!E27</f>
        <v/>
      </c>
      <c r="V27" s="6">
        <f>'Труд'!E27</f>
        <v/>
      </c>
      <c r="W27" s="7">
        <f>'Физ.культура'!E27</f>
        <v/>
      </c>
      <c r="X27" s="6">
        <f>'Физика'!E27</f>
        <v/>
      </c>
      <c r="Y27" s="7">
        <f>'Фран.язык'!E27</f>
        <v/>
      </c>
      <c r="Z27" s="6">
        <f>'Химия'!E27</f>
        <v/>
      </c>
      <c r="AA27" s="7">
        <f>'Экология'!E27</f>
        <v/>
      </c>
      <c r="AB27" s="6">
        <f>'Экономика'!E27</f>
        <v/>
      </c>
    </row>
    <row r="28">
      <c r="A28" s="5" t="inlineStr">
        <is>
          <t>10 А</t>
        </is>
      </c>
      <c r="B28" s="6">
        <f>'Англ. язык'!E28</f>
        <v/>
      </c>
      <c r="C28" s="7">
        <f>'Астрономия'!E28</f>
        <v/>
      </c>
      <c r="D28" s="6">
        <f>'Биология'!E28</f>
        <v/>
      </c>
      <c r="E28" s="7">
        <f>'География'!E28</f>
        <v/>
      </c>
      <c r="F28" s="6">
        <f>'ИИ'!E28</f>
        <v/>
      </c>
      <c r="G28" s="7">
        <f>'Инф.без.'!E28</f>
        <v/>
      </c>
      <c r="H28" s="6">
        <f>'Искусство'!E28</f>
        <v/>
      </c>
      <c r="I28" s="7">
        <f>'Исп.язык'!E28</f>
        <v/>
      </c>
      <c r="J28" s="6">
        <f>'История'!E28</f>
        <v/>
      </c>
      <c r="K28" s="7">
        <f>'Итал.язык'!E28</f>
        <v/>
      </c>
      <c r="L28" s="6">
        <f>'Кит.язык'!E28</f>
        <v/>
      </c>
      <c r="M28" s="7">
        <f>'Литература'!E28</f>
        <v/>
      </c>
      <c r="N28" s="6">
        <f>'Математика'!E28</f>
        <v/>
      </c>
      <c r="O28" s="7">
        <f>'Нем.язык'!E28</f>
        <v/>
      </c>
      <c r="P28" s="6">
        <f>'ОБЗР'!E28</f>
        <v/>
      </c>
      <c r="Q28" s="7">
        <f>'Обществознание'!E28</f>
        <v/>
      </c>
      <c r="R28" s="6">
        <f>'Право'!E28</f>
        <v/>
      </c>
      <c r="S28" s="7">
        <f>'Программирование'!E28</f>
        <v/>
      </c>
      <c r="T28" s="6">
        <f>'Робототехника'!E28</f>
        <v/>
      </c>
      <c r="U28" s="7">
        <f>'Русский язык'!E28</f>
        <v/>
      </c>
      <c r="V28" s="6">
        <f>'Труд'!E28</f>
        <v/>
      </c>
      <c r="W28" s="7">
        <f>'Физ.культура'!E28</f>
        <v/>
      </c>
      <c r="X28" s="6">
        <f>'Физика'!E28</f>
        <v/>
      </c>
      <c r="Y28" s="7">
        <f>'Фран.язык'!E28</f>
        <v/>
      </c>
      <c r="Z28" s="6">
        <f>'Химия'!E28</f>
        <v/>
      </c>
      <c r="AA28" s="7">
        <f>'Экология'!E28</f>
        <v/>
      </c>
      <c r="AB28" s="6">
        <f>'Экономика'!E28</f>
        <v/>
      </c>
    </row>
    <row r="29">
      <c r="A29" s="5" t="inlineStr">
        <is>
          <t>10 Б</t>
        </is>
      </c>
      <c r="B29" s="6">
        <f>'Англ. язык'!E29</f>
        <v/>
      </c>
      <c r="C29" s="7">
        <f>'Астрономия'!E29</f>
        <v/>
      </c>
      <c r="D29" s="6">
        <f>'Биология'!E29</f>
        <v/>
      </c>
      <c r="E29" s="7">
        <f>'География'!E29</f>
        <v/>
      </c>
      <c r="F29" s="6">
        <f>'ИИ'!E29</f>
        <v/>
      </c>
      <c r="G29" s="7">
        <f>'Инф.без.'!E29</f>
        <v/>
      </c>
      <c r="H29" s="6">
        <f>'Искусство'!E29</f>
        <v/>
      </c>
      <c r="I29" s="7">
        <f>'Исп.язык'!E29</f>
        <v/>
      </c>
      <c r="J29" s="6">
        <f>'История'!E29</f>
        <v/>
      </c>
      <c r="K29" s="7">
        <f>'Итал.язык'!E29</f>
        <v/>
      </c>
      <c r="L29" s="6">
        <f>'Кит.язык'!E29</f>
        <v/>
      </c>
      <c r="M29" s="7">
        <f>'Литература'!E29</f>
        <v/>
      </c>
      <c r="N29" s="6">
        <f>'Математика'!E29</f>
        <v/>
      </c>
      <c r="O29" s="7">
        <f>'Нем.язык'!E29</f>
        <v/>
      </c>
      <c r="P29" s="6">
        <f>'ОБЗР'!E29</f>
        <v/>
      </c>
      <c r="Q29" s="7">
        <f>'Обществознание'!E29</f>
        <v/>
      </c>
      <c r="R29" s="6">
        <f>'Право'!E29</f>
        <v/>
      </c>
      <c r="S29" s="7">
        <f>'Программирование'!E29</f>
        <v/>
      </c>
      <c r="T29" s="6">
        <f>'Робототехника'!E29</f>
        <v/>
      </c>
      <c r="U29" s="7">
        <f>'Русский язык'!E29</f>
        <v/>
      </c>
      <c r="V29" s="6">
        <f>'Труд'!E29</f>
        <v/>
      </c>
      <c r="W29" s="7">
        <f>'Физ.культура'!E29</f>
        <v/>
      </c>
      <c r="X29" s="6">
        <f>'Физика'!E29</f>
        <v/>
      </c>
      <c r="Y29" s="7">
        <f>'Фран.язык'!E29</f>
        <v/>
      </c>
      <c r="Z29" s="6">
        <f>'Химия'!E29</f>
        <v/>
      </c>
      <c r="AA29" s="7">
        <f>'Экология'!E29</f>
        <v/>
      </c>
      <c r="AB29" s="6">
        <f>'Экономика'!E29</f>
        <v/>
      </c>
    </row>
    <row r="30">
      <c r="A30" s="5" t="inlineStr">
        <is>
          <t>11 А</t>
        </is>
      </c>
      <c r="B30" s="6">
        <f>'Англ. язык'!E30</f>
        <v/>
      </c>
      <c r="C30" s="7">
        <f>'Астрономия'!E30</f>
        <v/>
      </c>
      <c r="D30" s="6">
        <f>'Биология'!E30</f>
        <v/>
      </c>
      <c r="E30" s="7">
        <f>'География'!E30</f>
        <v/>
      </c>
      <c r="F30" s="6">
        <f>'ИИ'!E30</f>
        <v/>
      </c>
      <c r="G30" s="7">
        <f>'Инф.без.'!E30</f>
        <v/>
      </c>
      <c r="H30" s="6">
        <f>'Искусство'!E30</f>
        <v/>
      </c>
      <c r="I30" s="7">
        <f>'Исп.язык'!E30</f>
        <v/>
      </c>
      <c r="J30" s="6">
        <f>'История'!E30</f>
        <v/>
      </c>
      <c r="K30" s="7">
        <f>'Итал.язык'!E30</f>
        <v/>
      </c>
      <c r="L30" s="6">
        <f>'Кит.язык'!E30</f>
        <v/>
      </c>
      <c r="M30" s="7">
        <f>'Литература'!E30</f>
        <v/>
      </c>
      <c r="N30" s="6">
        <f>'Математика'!E30</f>
        <v/>
      </c>
      <c r="O30" s="7">
        <f>'Нем.язык'!E30</f>
        <v/>
      </c>
      <c r="P30" s="6">
        <f>'ОБЗР'!E30</f>
        <v/>
      </c>
      <c r="Q30" s="7">
        <f>'Обществознание'!E30</f>
        <v/>
      </c>
      <c r="R30" s="6">
        <f>'Право'!E30</f>
        <v/>
      </c>
      <c r="S30" s="7">
        <f>'Программирование'!E30</f>
        <v/>
      </c>
      <c r="T30" s="6">
        <f>'Робототехника'!E30</f>
        <v/>
      </c>
      <c r="U30" s="7">
        <f>'Русский язык'!E30</f>
        <v/>
      </c>
      <c r="V30" s="6">
        <f>'Труд'!E30</f>
        <v/>
      </c>
      <c r="W30" s="7">
        <f>'Физ.культура'!E30</f>
        <v/>
      </c>
      <c r="X30" s="6">
        <f>'Физика'!E30</f>
        <v/>
      </c>
      <c r="Y30" s="7">
        <f>'Фран.язык'!E30</f>
        <v/>
      </c>
      <c r="Z30" s="6">
        <f>'Химия'!E30</f>
        <v/>
      </c>
      <c r="AA30" s="7">
        <f>'Экология'!E30</f>
        <v/>
      </c>
      <c r="AB30" s="6">
        <f>'Экономика'!E30</f>
        <v/>
      </c>
    </row>
    <row r="31">
      <c r="A31" s="5" t="inlineStr">
        <is>
          <t>11 Б</t>
        </is>
      </c>
      <c r="B31" s="6">
        <f>'Англ. язык'!E31</f>
        <v/>
      </c>
      <c r="C31" s="7">
        <f>'Астрономия'!E31</f>
        <v/>
      </c>
      <c r="D31" s="6">
        <f>'Биология'!E31</f>
        <v/>
      </c>
      <c r="E31" s="7">
        <f>'География'!E31</f>
        <v/>
      </c>
      <c r="F31" s="6">
        <f>'ИИ'!E31</f>
        <v/>
      </c>
      <c r="G31" s="7">
        <f>'Инф.без.'!E31</f>
        <v/>
      </c>
      <c r="H31" s="6">
        <f>'Искусство'!E31</f>
        <v/>
      </c>
      <c r="I31" s="7">
        <f>'Исп.язык'!E31</f>
        <v/>
      </c>
      <c r="J31" s="6">
        <f>'История'!E31</f>
        <v/>
      </c>
      <c r="K31" s="7">
        <f>'Итал.язык'!E31</f>
        <v/>
      </c>
      <c r="L31" s="6">
        <f>'Кит.язык'!E31</f>
        <v/>
      </c>
      <c r="M31" s="7">
        <f>'Литература'!E31</f>
        <v/>
      </c>
      <c r="N31" s="6">
        <f>'Математика'!E31</f>
        <v/>
      </c>
      <c r="O31" s="7">
        <f>'Нем.язык'!E31</f>
        <v/>
      </c>
      <c r="P31" s="6">
        <f>'ОБЗР'!E31</f>
        <v/>
      </c>
      <c r="Q31" s="7">
        <f>'Обществознание'!E31</f>
        <v/>
      </c>
      <c r="R31" s="6">
        <f>'Право'!E31</f>
        <v/>
      </c>
      <c r="S31" s="7">
        <f>'Программирование'!E31</f>
        <v/>
      </c>
      <c r="T31" s="6">
        <f>'Робототехника'!E31</f>
        <v/>
      </c>
      <c r="U31" s="7">
        <f>'Русский язык'!E31</f>
        <v/>
      </c>
      <c r="V31" s="6">
        <f>'Труд'!E31</f>
        <v/>
      </c>
      <c r="W31" s="7">
        <f>'Физ.культура'!E31</f>
        <v/>
      </c>
      <c r="X31" s="6">
        <f>'Физика'!E31</f>
        <v/>
      </c>
      <c r="Y31" s="7">
        <f>'Фран.язык'!E31</f>
        <v/>
      </c>
      <c r="Z31" s="6">
        <f>'Химия'!E31</f>
        <v/>
      </c>
      <c r="AA31" s="7">
        <f>'Экология'!E31</f>
        <v/>
      </c>
      <c r="AB31" s="6">
        <f>'Экономика'!E31</f>
        <v/>
      </c>
    </row>
    <row r="32">
      <c r="A32" s="2" t="inlineStr">
        <is>
          <t>Всего:</t>
        </is>
      </c>
      <c r="B32" s="8">
        <f>SUM(B1:B31)</f>
        <v/>
      </c>
      <c r="C32" s="2">
        <f>SUM(C1:C31)</f>
        <v/>
      </c>
      <c r="D32" s="8">
        <f>SUM(D1:D31)</f>
        <v/>
      </c>
      <c r="E32" s="2">
        <f>SUM(E1:E31)</f>
        <v/>
      </c>
      <c r="F32" s="8">
        <f>SUM(F1:F31)</f>
        <v/>
      </c>
      <c r="G32" s="2">
        <f>SUM(G1:G31)</f>
        <v/>
      </c>
      <c r="H32" s="8">
        <f>SUM(H1:H31)</f>
        <v/>
      </c>
      <c r="I32" s="2">
        <f>SUM(I1:I31)</f>
        <v/>
      </c>
      <c r="J32" s="8">
        <f>SUM(J1:J31)</f>
        <v/>
      </c>
      <c r="K32" s="2">
        <f>SUM(K1:K31)</f>
        <v/>
      </c>
      <c r="L32" s="8">
        <f>SUM(L1:L31)</f>
        <v/>
      </c>
      <c r="M32" s="2">
        <f>SUM(M1:M31)</f>
        <v/>
      </c>
      <c r="N32" s="8">
        <f>SUM(N1:N31)</f>
        <v/>
      </c>
      <c r="O32" s="2">
        <f>SUM(O1:O31)</f>
        <v/>
      </c>
      <c r="P32" s="8">
        <f>SUM(P1:P31)</f>
        <v/>
      </c>
      <c r="Q32" s="2">
        <f>SUM(Q1:Q31)</f>
        <v/>
      </c>
      <c r="R32" s="8">
        <f>SUM(R1:R31)</f>
        <v/>
      </c>
      <c r="S32" s="2">
        <f>SUM(S1:S31)</f>
        <v/>
      </c>
      <c r="T32" s="8">
        <f>SUM(T1:T31)</f>
        <v/>
      </c>
      <c r="U32" s="2">
        <f>SUM(U1:U31)</f>
        <v/>
      </c>
      <c r="V32" s="8">
        <f>SUM(V1:V31)</f>
        <v/>
      </c>
      <c r="W32" s="2">
        <f>SUM(W1:W31)</f>
        <v/>
      </c>
      <c r="X32" s="8">
        <f>SUM(X1:X31)</f>
        <v/>
      </c>
      <c r="Y32" s="2">
        <f>SUM(Y1:Y31)</f>
        <v/>
      </c>
      <c r="Z32" s="8">
        <f>SUM(Z1:Z31)</f>
        <v/>
      </c>
      <c r="AA32" s="2">
        <f>SUM(AA1:AA31)</f>
        <v/>
      </c>
      <c r="AB32" s="8">
        <f>SUM(AB1:AB31)</f>
        <v/>
      </c>
    </row>
    <row r="33">
      <c r="A33" s="2" t="inlineStr">
        <is>
          <t>% участия:</t>
        </is>
      </c>
      <c r="B33" s="9">
        <f>SUM(B1:B31)/864</f>
        <v/>
      </c>
      <c r="C33" s="10">
        <f>SUM(C1:C31)/864</f>
        <v/>
      </c>
      <c r="D33" s="9">
        <f>SUM(D1:D31)/864</f>
        <v/>
      </c>
      <c r="E33" s="10">
        <f>SUM(E1:E31)/864</f>
        <v/>
      </c>
      <c r="F33" s="9">
        <f>SUM(F1:F31)/864</f>
        <v/>
      </c>
      <c r="G33" s="10">
        <f>SUM(G1:G31)/864</f>
        <v/>
      </c>
      <c r="H33" s="9">
        <f>SUM(H1:H31)/864</f>
        <v/>
      </c>
      <c r="I33" s="10">
        <f>SUM(I1:I31)/864</f>
        <v/>
      </c>
      <c r="J33" s="9">
        <f>SUM(J1:J31)/864</f>
        <v/>
      </c>
      <c r="K33" s="10">
        <f>SUM(K1:K31)/864</f>
        <v/>
      </c>
      <c r="L33" s="9">
        <f>SUM(L1:L31)/864</f>
        <v/>
      </c>
      <c r="M33" s="10">
        <f>SUM(M1:M31)/864</f>
        <v/>
      </c>
      <c r="N33" s="9">
        <f>SUM(N1:N31)/864</f>
        <v/>
      </c>
      <c r="O33" s="10">
        <f>SUM(O1:O31)/864</f>
        <v/>
      </c>
      <c r="P33" s="9">
        <f>SUM(P1:P31)/864</f>
        <v/>
      </c>
      <c r="Q33" s="10">
        <f>SUM(Q1:Q31)/864</f>
        <v/>
      </c>
      <c r="R33" s="9">
        <f>SUM(R1:R31)/864</f>
        <v/>
      </c>
      <c r="S33" s="10">
        <f>SUM(S1:S31)/864</f>
        <v/>
      </c>
      <c r="T33" s="9">
        <f>SUM(T1:T31)/864</f>
        <v/>
      </c>
      <c r="U33" s="10">
        <f>SUM(U1:U31)/864</f>
        <v/>
      </c>
      <c r="V33" s="9">
        <f>SUM(V1:V31)/864</f>
        <v/>
      </c>
      <c r="W33" s="10">
        <f>SUM(W1:W31)/864</f>
        <v/>
      </c>
      <c r="X33" s="9">
        <f>SUM(X1:X31)/864</f>
        <v/>
      </c>
      <c r="Y33" s="10">
        <f>SUM(Y1:Y31)/864</f>
        <v/>
      </c>
      <c r="Z33" s="9">
        <f>SUM(Z1:Z31)/864</f>
        <v/>
      </c>
      <c r="AA33" s="10">
        <f>SUM(AA1:AA31)/864</f>
        <v/>
      </c>
      <c r="AB33" s="9">
        <f>SUM(AB1:AB31)/864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2026-01-10T08:40:20Z</dcterms:created>
  <dcterms:modified xmlns:dcterms="http://purl.org/dc/terms/" xmlns:xsi="http://www.w3.org/2001/XMLSchema-instance" xsi:type="dcterms:W3CDTF">2026-01-10T08:40:21Z</dcterms:modified>
</cp:coreProperties>
</file>