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2" autoFilterDateGrouping="1"/>
  </bookViews>
  <sheets>
    <sheet xmlns:r="http://schemas.openxmlformats.org/officeDocument/2006/relationships" name="Англ. язык" sheetId="1" state="visible" r:id="rId1"/>
    <sheet xmlns:r="http://schemas.openxmlformats.org/officeDocument/2006/relationships" name="Астрономия" sheetId="2" state="visible" r:id="rId2"/>
    <sheet xmlns:r="http://schemas.openxmlformats.org/officeDocument/2006/relationships" name="Биология" sheetId="3" state="visible" r:id="rId3"/>
    <sheet xmlns:r="http://schemas.openxmlformats.org/officeDocument/2006/relationships" name="География" sheetId="4" state="visible" r:id="rId4"/>
    <sheet xmlns:r="http://schemas.openxmlformats.org/officeDocument/2006/relationships" name="ИИ" sheetId="5" state="visible" r:id="rId5"/>
    <sheet xmlns:r="http://schemas.openxmlformats.org/officeDocument/2006/relationships" name="Инф.без." sheetId="6" state="visible" r:id="rId6"/>
    <sheet xmlns:r="http://schemas.openxmlformats.org/officeDocument/2006/relationships" name="Искусство" sheetId="7" state="visible" r:id="rId7"/>
    <sheet xmlns:r="http://schemas.openxmlformats.org/officeDocument/2006/relationships" name="Исп.язык" sheetId="8" state="visible" r:id="rId8"/>
    <sheet xmlns:r="http://schemas.openxmlformats.org/officeDocument/2006/relationships" name="История" sheetId="9" state="visible" r:id="rId9"/>
    <sheet xmlns:r="http://schemas.openxmlformats.org/officeDocument/2006/relationships" name="Итал.язык" sheetId="10" state="visible" r:id="rId10"/>
    <sheet xmlns:r="http://schemas.openxmlformats.org/officeDocument/2006/relationships" name="Право" sheetId="11" state="visible" r:id="rId11"/>
    <sheet xmlns:r="http://schemas.openxmlformats.org/officeDocument/2006/relationships" name="Программирование" sheetId="12" state="visible" r:id="rId12"/>
    <sheet xmlns:r="http://schemas.openxmlformats.org/officeDocument/2006/relationships" name="Робототехника" sheetId="13" state="visible" r:id="rId13"/>
    <sheet xmlns:r="http://schemas.openxmlformats.org/officeDocument/2006/relationships" name="Статистика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3F3F3"/>
        <bgColor rgb="00F3F3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 textRotation="90"/>
    </xf>
    <xf numFmtId="0" fontId="1" fillId="0" borderId="1" applyAlignment="1" pivotButton="0" quotePrefix="0" xfId="0">
      <alignment horizontal="center" textRotation="90"/>
    </xf>
    <xf numFmtId="0" fontId="0" fillId="0" borderId="1" applyAlignment="1" pivotButton="0" quotePrefix="0" xfId="0">
      <alignment horizontal="center"/>
    </xf>
    <xf numFmtId="0" fontId="0" fillId="2" borderId="1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/>
    </xf>
    <xf numFmtId="164" fontId="0" fillId="2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50" customWidth="1" min="2" max="2"/>
  </cols>
  <sheetData>
    <row r="1">
      <c r="A1" s="1" t="inlineStr">
        <is>
          <t>Класс</t>
        </is>
      </c>
      <c r="B1" s="1" t="inlineStr">
        <is>
          <t>Ученик</t>
        </is>
      </c>
      <c r="D1" s="1" t="inlineStr">
        <is>
          <t>Класс</t>
        </is>
      </c>
      <c r="E1" s="1" t="inlineStr">
        <is>
          <t>Кол-во</t>
        </is>
      </c>
    </row>
    <row r="2">
      <c r="A2" t="inlineStr">
        <is>
          <t>8В</t>
        </is>
      </c>
      <c r="B2" t="inlineStr">
        <is>
          <t>Абатуров Алексей Максимович</t>
        </is>
      </c>
      <c r="D2" t="inlineStr">
        <is>
          <t>4А</t>
        </is>
      </c>
      <c r="E2">
        <f>COUNTIF(A:A, "4А")</f>
        <v/>
      </c>
    </row>
    <row r="3">
      <c r="A3" t="inlineStr">
        <is>
          <t>8В</t>
        </is>
      </c>
      <c r="B3" t="inlineStr">
        <is>
          <t>Автонеева Елизавета Станиславовна</t>
        </is>
      </c>
      <c r="D3" t="inlineStr">
        <is>
          <t>4Б</t>
        </is>
      </c>
      <c r="E3">
        <f>COUNTIF(A:A, "4Б")</f>
        <v/>
      </c>
    </row>
    <row r="4">
      <c r="A4" t="inlineStr">
        <is>
          <t>8В</t>
        </is>
      </c>
      <c r="B4" t="inlineStr">
        <is>
          <t>Акимова Анастасия Андреевна</t>
        </is>
      </c>
      <c r="D4" t="inlineStr">
        <is>
          <t>4В</t>
        </is>
      </c>
      <c r="E4">
        <f>COUNTIF(A:A, "4В")</f>
        <v/>
      </c>
    </row>
    <row r="5">
      <c r="A5" t="inlineStr">
        <is>
          <t>8В</t>
        </is>
      </c>
      <c r="B5" t="inlineStr">
        <is>
          <t>Андреева Полина Николаевна</t>
        </is>
      </c>
      <c r="D5" t="inlineStr">
        <is>
          <t>4Г</t>
        </is>
      </c>
      <c r="E5">
        <f>COUNTIF(A:A, "4Г")</f>
        <v/>
      </c>
    </row>
    <row r="6">
      <c r="D6" t="inlineStr">
        <is>
          <t>4Д</t>
        </is>
      </c>
      <c r="E6">
        <f>COUNTIF(A:A, "4Д")</f>
        <v/>
      </c>
    </row>
    <row r="7">
      <c r="D7" t="inlineStr">
        <is>
          <t>5А</t>
        </is>
      </c>
      <c r="E7">
        <f>COUNTIF(A:A, "5А")</f>
        <v/>
      </c>
    </row>
    <row r="8">
      <c r="D8" t="inlineStr">
        <is>
          <t>5Б</t>
        </is>
      </c>
      <c r="E8">
        <f>COUNTIF(A:A, "5Б")</f>
        <v/>
      </c>
    </row>
    <row r="9">
      <c r="D9" t="inlineStr">
        <is>
          <t>5В</t>
        </is>
      </c>
      <c r="E9">
        <f>COUNTIF(A:A, "5В")</f>
        <v/>
      </c>
    </row>
    <row r="10">
      <c r="D10" t="inlineStr">
        <is>
          <t>5Г</t>
        </is>
      </c>
      <c r="E10">
        <f>COUNTIF(A:A, "5Г")</f>
        <v/>
      </c>
    </row>
    <row r="11">
      <c r="D11" t="inlineStr">
        <is>
          <t>5Д</t>
        </is>
      </c>
      <c r="E11">
        <f>COUNTIF(A:A, "5Д")</f>
        <v/>
      </c>
    </row>
    <row r="12">
      <c r="D12" t="inlineStr">
        <is>
          <t>6А</t>
        </is>
      </c>
      <c r="E12">
        <f>COUNTIF(A:A, "6А")</f>
        <v/>
      </c>
    </row>
    <row r="13">
      <c r="D13" t="inlineStr">
        <is>
          <t>6Б</t>
        </is>
      </c>
      <c r="E13">
        <f>COUNTIF(A:A, "6Б")</f>
        <v/>
      </c>
    </row>
    <row r="14">
      <c r="D14" t="inlineStr">
        <is>
          <t>6В</t>
        </is>
      </c>
      <c r="E14">
        <f>COUNTIF(A:A, "6В")</f>
        <v/>
      </c>
    </row>
    <row r="15">
      <c r="D15" t="inlineStr">
        <is>
          <t>6Г</t>
        </is>
      </c>
      <c r="E15">
        <f>COUNTIF(A:A, "6Г")</f>
        <v/>
      </c>
    </row>
    <row r="16">
      <c r="D16" t="inlineStr">
        <is>
          <t>6Д</t>
        </is>
      </c>
      <c r="E16">
        <f>COUNTIF(A:A, "6Д")</f>
        <v/>
      </c>
    </row>
    <row r="17">
      <c r="D17" t="inlineStr">
        <is>
          <t>7А</t>
        </is>
      </c>
      <c r="E17">
        <f>COUNTIF(A:A, "7А")</f>
        <v/>
      </c>
    </row>
    <row r="18">
      <c r="D18" t="inlineStr">
        <is>
          <t>7Б</t>
        </is>
      </c>
      <c r="E18">
        <f>COUNTIF(A:A, "7Б")</f>
        <v/>
      </c>
    </row>
    <row r="19">
      <c r="D19" t="inlineStr">
        <is>
          <t>7В</t>
        </is>
      </c>
      <c r="E19">
        <f>COUNTIF(A:A, "7В")</f>
        <v/>
      </c>
    </row>
    <row r="20">
      <c r="D20" t="inlineStr">
        <is>
          <t>7Г</t>
        </is>
      </c>
      <c r="E20">
        <f>COUNTIF(A:A, "7Г")</f>
        <v/>
      </c>
    </row>
    <row r="21">
      <c r="D21" t="inlineStr">
        <is>
          <t>8А</t>
        </is>
      </c>
      <c r="E21">
        <f>COUNTIF(A:A, "8А")</f>
        <v/>
      </c>
    </row>
    <row r="22">
      <c r="D22" t="inlineStr">
        <is>
          <t>8Б</t>
        </is>
      </c>
      <c r="E22">
        <f>COUNTIF(A:A, "8Б")</f>
        <v/>
      </c>
    </row>
    <row r="23">
      <c r="D23" t="inlineStr">
        <is>
          <t>8В</t>
        </is>
      </c>
      <c r="E23">
        <f>COUNTIF(A:A, "8В")</f>
        <v/>
      </c>
    </row>
    <row r="24">
      <c r="D24" t="inlineStr">
        <is>
          <t>9А</t>
        </is>
      </c>
      <c r="E24">
        <f>COUNTIF(A:A, "9А")</f>
        <v/>
      </c>
    </row>
    <row r="25">
      <c r="D25" t="inlineStr">
        <is>
          <t>9Б</t>
        </is>
      </c>
      <c r="E25">
        <f>COUNTIF(A:A, "9Б")</f>
        <v/>
      </c>
    </row>
    <row r="26">
      <c r="D26" t="inlineStr">
        <is>
          <t>9В</t>
        </is>
      </c>
      <c r="E26">
        <f>COUNTIF(A:A, "9В")</f>
        <v/>
      </c>
    </row>
    <row r="27">
      <c r="D27" t="inlineStr">
        <is>
          <t>9Г</t>
        </is>
      </c>
      <c r="E27">
        <f>COUNTIF(A:A, "9Г")</f>
        <v/>
      </c>
    </row>
    <row r="28">
      <c r="D28" t="inlineStr">
        <is>
          <t>10А</t>
        </is>
      </c>
      <c r="E28">
        <f>COUNTIF(A:A, "10А")</f>
        <v/>
      </c>
    </row>
    <row r="29">
      <c r="D29" t="inlineStr">
        <is>
          <t>10Б</t>
        </is>
      </c>
      <c r="E29">
        <f>COUNTIF(A:A, "10Б")</f>
        <v/>
      </c>
    </row>
    <row r="30">
      <c r="D30" t="inlineStr">
        <is>
          <t>11А</t>
        </is>
      </c>
      <c r="E30">
        <f>COUNTIF(A:A, "11А")</f>
        <v/>
      </c>
    </row>
    <row r="31">
      <c r="D31" t="inlineStr">
        <is>
          <t>11Б</t>
        </is>
      </c>
      <c r="E31">
        <f>COUNTIF(A:A, "11Б")</f>
        <v/>
      </c>
    </row>
    <row r="32">
      <c r="D32" s="1" t="inlineStr">
        <is>
          <t xml:space="preserve">Всего: </t>
        </is>
      </c>
      <c r="E32">
        <f>SUM(E2:E31)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50" customWidth="1" min="2" max="2"/>
  </cols>
  <sheetData>
    <row r="1">
      <c r="A1" s="1" t="inlineStr">
        <is>
          <t>Класс</t>
        </is>
      </c>
      <c r="B1" s="1" t="inlineStr">
        <is>
          <t>Ученик</t>
        </is>
      </c>
      <c r="D1" s="1" t="inlineStr">
        <is>
          <t>Класс</t>
        </is>
      </c>
      <c r="E1" s="1" t="inlineStr">
        <is>
          <t>Кол-во</t>
        </is>
      </c>
    </row>
    <row r="2">
      <c r="A2" t="inlineStr">
        <is>
          <t>8В</t>
        </is>
      </c>
      <c r="B2" t="inlineStr">
        <is>
          <t>Андреева Полина Николаевна</t>
        </is>
      </c>
      <c r="D2" t="inlineStr">
        <is>
          <t>4А</t>
        </is>
      </c>
      <c r="E2">
        <f>COUNTIF(A:A, "4А")</f>
        <v/>
      </c>
    </row>
    <row r="3">
      <c r="A3" t="inlineStr">
        <is>
          <t>8В</t>
        </is>
      </c>
      <c r="B3" t="inlineStr">
        <is>
          <t>Анисимкова Ксения Артемовна</t>
        </is>
      </c>
      <c r="D3" t="inlineStr">
        <is>
          <t>4Б</t>
        </is>
      </c>
      <c r="E3">
        <f>COUNTIF(A:A, "4Б")</f>
        <v/>
      </c>
    </row>
    <row r="4">
      <c r="A4" t="inlineStr">
        <is>
          <t>8В</t>
        </is>
      </c>
      <c r="B4" t="inlineStr">
        <is>
          <t>Байдацкий Артём Владимирович</t>
        </is>
      </c>
      <c r="D4" t="inlineStr">
        <is>
          <t>4В</t>
        </is>
      </c>
      <c r="E4">
        <f>COUNTIF(A:A, "4В")</f>
        <v/>
      </c>
    </row>
    <row r="5">
      <c r="A5" t="inlineStr">
        <is>
          <t>8В</t>
        </is>
      </c>
      <c r="B5" t="inlineStr">
        <is>
          <t>Боровков Михаил Евгеньевич</t>
        </is>
      </c>
      <c r="D5" t="inlineStr">
        <is>
          <t>4Г</t>
        </is>
      </c>
      <c r="E5">
        <f>COUNTIF(A:A, "4Г")</f>
        <v/>
      </c>
    </row>
    <row r="6">
      <c r="D6" t="inlineStr">
        <is>
          <t>4Д</t>
        </is>
      </c>
      <c r="E6">
        <f>COUNTIF(A:A, "4Д")</f>
        <v/>
      </c>
    </row>
    <row r="7">
      <c r="D7" t="inlineStr">
        <is>
          <t>5А</t>
        </is>
      </c>
      <c r="E7">
        <f>COUNTIF(A:A, "5А")</f>
        <v/>
      </c>
    </row>
    <row r="8">
      <c r="D8" t="inlineStr">
        <is>
          <t>5Б</t>
        </is>
      </c>
      <c r="E8">
        <f>COUNTIF(A:A, "5Б")</f>
        <v/>
      </c>
    </row>
    <row r="9">
      <c r="D9" t="inlineStr">
        <is>
          <t>5В</t>
        </is>
      </c>
      <c r="E9">
        <f>COUNTIF(A:A, "5В")</f>
        <v/>
      </c>
    </row>
    <row r="10">
      <c r="D10" t="inlineStr">
        <is>
          <t>5Г</t>
        </is>
      </c>
      <c r="E10">
        <f>COUNTIF(A:A, "5Г")</f>
        <v/>
      </c>
    </row>
    <row r="11">
      <c r="D11" t="inlineStr">
        <is>
          <t>5Д</t>
        </is>
      </c>
      <c r="E11">
        <f>COUNTIF(A:A, "5Д")</f>
        <v/>
      </c>
    </row>
    <row r="12">
      <c r="D12" t="inlineStr">
        <is>
          <t>6А</t>
        </is>
      </c>
      <c r="E12">
        <f>COUNTIF(A:A, "6А")</f>
        <v/>
      </c>
    </row>
    <row r="13">
      <c r="D13" t="inlineStr">
        <is>
          <t>6Б</t>
        </is>
      </c>
      <c r="E13">
        <f>COUNTIF(A:A, "6Б")</f>
        <v/>
      </c>
    </row>
    <row r="14">
      <c r="D14" t="inlineStr">
        <is>
          <t>6В</t>
        </is>
      </c>
      <c r="E14">
        <f>COUNTIF(A:A, "6В")</f>
        <v/>
      </c>
    </row>
    <row r="15">
      <c r="D15" t="inlineStr">
        <is>
          <t>6Г</t>
        </is>
      </c>
      <c r="E15">
        <f>COUNTIF(A:A, "6Г")</f>
        <v/>
      </c>
    </row>
    <row r="16">
      <c r="D16" t="inlineStr">
        <is>
          <t>6Д</t>
        </is>
      </c>
      <c r="E16">
        <f>COUNTIF(A:A, "6Д")</f>
        <v/>
      </c>
    </row>
    <row r="17">
      <c r="D17" t="inlineStr">
        <is>
          <t>7А</t>
        </is>
      </c>
      <c r="E17">
        <f>COUNTIF(A:A, "7А")</f>
        <v/>
      </c>
    </row>
    <row r="18">
      <c r="D18" t="inlineStr">
        <is>
          <t>7Б</t>
        </is>
      </c>
      <c r="E18">
        <f>COUNTIF(A:A, "7Б")</f>
        <v/>
      </c>
    </row>
    <row r="19">
      <c r="D19" t="inlineStr">
        <is>
          <t>7В</t>
        </is>
      </c>
      <c r="E19">
        <f>COUNTIF(A:A, "7В")</f>
        <v/>
      </c>
    </row>
    <row r="20">
      <c r="D20" t="inlineStr">
        <is>
          <t>7Г</t>
        </is>
      </c>
      <c r="E20">
        <f>COUNTIF(A:A, "7Г")</f>
        <v/>
      </c>
    </row>
    <row r="21">
      <c r="D21" t="inlineStr">
        <is>
          <t>8А</t>
        </is>
      </c>
      <c r="E21">
        <f>COUNTIF(A:A, "8А")</f>
        <v/>
      </c>
    </row>
    <row r="22">
      <c r="D22" t="inlineStr">
        <is>
          <t>8Б</t>
        </is>
      </c>
      <c r="E22">
        <f>COUNTIF(A:A, "8Б")</f>
        <v/>
      </c>
    </row>
    <row r="23">
      <c r="D23" t="inlineStr">
        <is>
          <t>8В</t>
        </is>
      </c>
      <c r="E23">
        <f>COUNTIF(A:A, "8В")</f>
        <v/>
      </c>
    </row>
    <row r="24">
      <c r="D24" t="inlineStr">
        <is>
          <t>9А</t>
        </is>
      </c>
      <c r="E24">
        <f>COUNTIF(A:A, "9А")</f>
        <v/>
      </c>
    </row>
    <row r="25">
      <c r="D25" t="inlineStr">
        <is>
          <t>9Б</t>
        </is>
      </c>
      <c r="E25">
        <f>COUNTIF(A:A, "9Б")</f>
        <v/>
      </c>
    </row>
    <row r="26">
      <c r="D26" t="inlineStr">
        <is>
          <t>9В</t>
        </is>
      </c>
      <c r="E26">
        <f>COUNTIF(A:A, "9В")</f>
        <v/>
      </c>
    </row>
    <row r="27">
      <c r="D27" t="inlineStr">
        <is>
          <t>9Г</t>
        </is>
      </c>
      <c r="E27">
        <f>COUNTIF(A:A, "9Г")</f>
        <v/>
      </c>
    </row>
    <row r="28">
      <c r="D28" t="inlineStr">
        <is>
          <t>10А</t>
        </is>
      </c>
      <c r="E28">
        <f>COUNTIF(A:A, "10А")</f>
        <v/>
      </c>
    </row>
    <row r="29">
      <c r="D29" t="inlineStr">
        <is>
          <t>10Б</t>
        </is>
      </c>
      <c r="E29">
        <f>COUNTIF(A:A, "10Б")</f>
        <v/>
      </c>
    </row>
    <row r="30">
      <c r="D30" t="inlineStr">
        <is>
          <t>11А</t>
        </is>
      </c>
      <c r="E30">
        <f>COUNTIF(A:A, "11А")</f>
        <v/>
      </c>
    </row>
    <row r="31">
      <c r="D31" t="inlineStr">
        <is>
          <t>11Б</t>
        </is>
      </c>
      <c r="E31">
        <f>COUNTIF(A:A, "11Б")</f>
        <v/>
      </c>
    </row>
    <row r="32">
      <c r="D32" s="1" t="inlineStr">
        <is>
          <t xml:space="preserve">Всего: </t>
        </is>
      </c>
      <c r="E32">
        <f>SUM(E2:E31)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50" customWidth="1" min="2" max="2"/>
  </cols>
  <sheetData>
    <row r="1">
      <c r="A1" s="1" t="inlineStr">
        <is>
          <t>Класс</t>
        </is>
      </c>
      <c r="B1" s="1" t="inlineStr">
        <is>
          <t>Ученик</t>
        </is>
      </c>
      <c r="D1" s="1" t="inlineStr">
        <is>
          <t>Класс</t>
        </is>
      </c>
      <c r="E1" s="1" t="inlineStr">
        <is>
          <t>Кол-во</t>
        </is>
      </c>
    </row>
    <row r="2">
      <c r="A2" t="inlineStr">
        <is>
          <t>8В</t>
        </is>
      </c>
      <c r="B2" t="inlineStr">
        <is>
          <t>Боровков Михаил Евгеньевич</t>
        </is>
      </c>
      <c r="D2" t="inlineStr">
        <is>
          <t>4А</t>
        </is>
      </c>
      <c r="E2">
        <f>COUNTIF(A:A, "4А")</f>
        <v/>
      </c>
    </row>
    <row r="3">
      <c r="A3" t="inlineStr">
        <is>
          <t>8В</t>
        </is>
      </c>
      <c r="B3" t="inlineStr">
        <is>
          <t>Будник Галина Денисовна</t>
        </is>
      </c>
      <c r="D3" t="inlineStr">
        <is>
          <t>4Б</t>
        </is>
      </c>
      <c r="E3">
        <f>COUNTIF(A:A, "4Б")</f>
        <v/>
      </c>
    </row>
    <row r="4">
      <c r="A4" t="inlineStr">
        <is>
          <t>8В</t>
        </is>
      </c>
      <c r="B4" t="inlineStr">
        <is>
          <t>Вайс Арина Аркадьевна</t>
        </is>
      </c>
      <c r="D4" t="inlineStr">
        <is>
          <t>4В</t>
        </is>
      </c>
      <c r="E4">
        <f>COUNTIF(A:A, "4В")</f>
        <v/>
      </c>
    </row>
    <row r="5">
      <c r="A5" t="inlineStr">
        <is>
          <t>8В</t>
        </is>
      </c>
      <c r="B5" t="inlineStr">
        <is>
          <t>Валиуллина Эвелина Вадимовна</t>
        </is>
      </c>
      <c r="D5" t="inlineStr">
        <is>
          <t>4Г</t>
        </is>
      </c>
      <c r="E5">
        <f>COUNTIF(A:A, "4Г")</f>
        <v/>
      </c>
    </row>
    <row r="6">
      <c r="D6" t="inlineStr">
        <is>
          <t>4Д</t>
        </is>
      </c>
      <c r="E6">
        <f>COUNTIF(A:A, "4Д")</f>
        <v/>
      </c>
    </row>
    <row r="7">
      <c r="D7" t="inlineStr">
        <is>
          <t>5А</t>
        </is>
      </c>
      <c r="E7">
        <f>COUNTIF(A:A, "5А")</f>
        <v/>
      </c>
    </row>
    <row r="8">
      <c r="D8" t="inlineStr">
        <is>
          <t>5Б</t>
        </is>
      </c>
      <c r="E8">
        <f>COUNTIF(A:A, "5Б")</f>
        <v/>
      </c>
    </row>
    <row r="9">
      <c r="D9" t="inlineStr">
        <is>
          <t>5В</t>
        </is>
      </c>
      <c r="E9">
        <f>COUNTIF(A:A, "5В")</f>
        <v/>
      </c>
    </row>
    <row r="10">
      <c r="D10" t="inlineStr">
        <is>
          <t>5Г</t>
        </is>
      </c>
      <c r="E10">
        <f>COUNTIF(A:A, "5Г")</f>
        <v/>
      </c>
    </row>
    <row r="11">
      <c r="D11" t="inlineStr">
        <is>
          <t>5Д</t>
        </is>
      </c>
      <c r="E11">
        <f>COUNTIF(A:A, "5Д")</f>
        <v/>
      </c>
    </row>
    <row r="12">
      <c r="D12" t="inlineStr">
        <is>
          <t>6А</t>
        </is>
      </c>
      <c r="E12">
        <f>COUNTIF(A:A, "6А")</f>
        <v/>
      </c>
    </row>
    <row r="13">
      <c r="D13" t="inlineStr">
        <is>
          <t>6Б</t>
        </is>
      </c>
      <c r="E13">
        <f>COUNTIF(A:A, "6Б")</f>
        <v/>
      </c>
    </row>
    <row r="14">
      <c r="D14" t="inlineStr">
        <is>
          <t>6В</t>
        </is>
      </c>
      <c r="E14">
        <f>COUNTIF(A:A, "6В")</f>
        <v/>
      </c>
    </row>
    <row r="15">
      <c r="D15" t="inlineStr">
        <is>
          <t>6Г</t>
        </is>
      </c>
      <c r="E15">
        <f>COUNTIF(A:A, "6Г")</f>
        <v/>
      </c>
    </row>
    <row r="16">
      <c r="D16" t="inlineStr">
        <is>
          <t>6Д</t>
        </is>
      </c>
      <c r="E16">
        <f>COUNTIF(A:A, "6Д")</f>
        <v/>
      </c>
    </row>
    <row r="17">
      <c r="D17" t="inlineStr">
        <is>
          <t>7А</t>
        </is>
      </c>
      <c r="E17">
        <f>COUNTIF(A:A, "7А")</f>
        <v/>
      </c>
    </row>
    <row r="18">
      <c r="D18" t="inlineStr">
        <is>
          <t>7Б</t>
        </is>
      </c>
      <c r="E18">
        <f>COUNTIF(A:A, "7Б")</f>
        <v/>
      </c>
    </row>
    <row r="19">
      <c r="D19" t="inlineStr">
        <is>
          <t>7В</t>
        </is>
      </c>
      <c r="E19">
        <f>COUNTIF(A:A, "7В")</f>
        <v/>
      </c>
    </row>
    <row r="20">
      <c r="D20" t="inlineStr">
        <is>
          <t>7Г</t>
        </is>
      </c>
      <c r="E20">
        <f>COUNTIF(A:A, "7Г")</f>
        <v/>
      </c>
    </row>
    <row r="21">
      <c r="D21" t="inlineStr">
        <is>
          <t>8А</t>
        </is>
      </c>
      <c r="E21">
        <f>COUNTIF(A:A, "8А")</f>
        <v/>
      </c>
    </row>
    <row r="22">
      <c r="D22" t="inlineStr">
        <is>
          <t>8Б</t>
        </is>
      </c>
      <c r="E22">
        <f>COUNTIF(A:A, "8Б")</f>
        <v/>
      </c>
    </row>
    <row r="23">
      <c r="D23" t="inlineStr">
        <is>
          <t>8В</t>
        </is>
      </c>
      <c r="E23">
        <f>COUNTIF(A:A, "8В")</f>
        <v/>
      </c>
    </row>
    <row r="24">
      <c r="D24" t="inlineStr">
        <is>
          <t>9А</t>
        </is>
      </c>
      <c r="E24">
        <f>COUNTIF(A:A, "9А")</f>
        <v/>
      </c>
    </row>
    <row r="25">
      <c r="D25" t="inlineStr">
        <is>
          <t>9Б</t>
        </is>
      </c>
      <c r="E25">
        <f>COUNTIF(A:A, "9Б")</f>
        <v/>
      </c>
    </row>
    <row r="26">
      <c r="D26" t="inlineStr">
        <is>
          <t>9В</t>
        </is>
      </c>
      <c r="E26">
        <f>COUNTIF(A:A, "9В")</f>
        <v/>
      </c>
    </row>
    <row r="27">
      <c r="D27" t="inlineStr">
        <is>
          <t>9Г</t>
        </is>
      </c>
      <c r="E27">
        <f>COUNTIF(A:A, "9Г")</f>
        <v/>
      </c>
    </row>
    <row r="28">
      <c r="D28" t="inlineStr">
        <is>
          <t>10А</t>
        </is>
      </c>
      <c r="E28">
        <f>COUNTIF(A:A, "10А")</f>
        <v/>
      </c>
    </row>
    <row r="29">
      <c r="D29" t="inlineStr">
        <is>
          <t>10Б</t>
        </is>
      </c>
      <c r="E29">
        <f>COUNTIF(A:A, "10Б")</f>
        <v/>
      </c>
    </row>
    <row r="30">
      <c r="D30" t="inlineStr">
        <is>
          <t>11А</t>
        </is>
      </c>
      <c r="E30">
        <f>COUNTIF(A:A, "11А")</f>
        <v/>
      </c>
    </row>
    <row r="31">
      <c r="D31" t="inlineStr">
        <is>
          <t>11Б</t>
        </is>
      </c>
      <c r="E31">
        <f>COUNTIF(A:A, "11Б")</f>
        <v/>
      </c>
    </row>
    <row r="32">
      <c r="D32" s="1" t="inlineStr">
        <is>
          <t xml:space="preserve">Всего: </t>
        </is>
      </c>
      <c r="E32">
        <f>SUM(E2:E31)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50" customWidth="1" min="2" max="2"/>
  </cols>
  <sheetData>
    <row r="1">
      <c r="A1" s="1" t="inlineStr">
        <is>
          <t>Класс</t>
        </is>
      </c>
      <c r="B1" s="1" t="inlineStr">
        <is>
          <t>Ученик</t>
        </is>
      </c>
      <c r="D1" s="1" t="inlineStr">
        <is>
          <t>Класс</t>
        </is>
      </c>
      <c r="E1" s="1" t="inlineStr">
        <is>
          <t>Кол-во</t>
        </is>
      </c>
    </row>
    <row r="2">
      <c r="A2" t="inlineStr">
        <is>
          <t>8В</t>
        </is>
      </c>
      <c r="B2" t="inlineStr">
        <is>
          <t>Валиуллина Эвелина Вадимовна</t>
        </is>
      </c>
      <c r="D2" t="inlineStr">
        <is>
          <t>4А</t>
        </is>
      </c>
      <c r="E2">
        <f>COUNTIF(A:A, "4А")</f>
        <v/>
      </c>
    </row>
    <row r="3">
      <c r="A3" t="inlineStr">
        <is>
          <t>8В</t>
        </is>
      </c>
      <c r="B3" t="inlineStr">
        <is>
          <t>Джавадов Максим Садатович</t>
        </is>
      </c>
      <c r="D3" t="inlineStr">
        <is>
          <t>4Б</t>
        </is>
      </c>
      <c r="E3">
        <f>COUNTIF(A:A, "4Б")</f>
        <v/>
      </c>
    </row>
    <row r="4">
      <c r="A4" t="inlineStr">
        <is>
          <t>8В</t>
        </is>
      </c>
      <c r="B4" t="inlineStr">
        <is>
          <t>Замятин Роман Алексеевич</t>
        </is>
      </c>
      <c r="D4" t="inlineStr">
        <is>
          <t>4В</t>
        </is>
      </c>
      <c r="E4">
        <f>COUNTIF(A:A, "4В")</f>
        <v/>
      </c>
    </row>
    <row r="5">
      <c r="A5" t="inlineStr">
        <is>
          <t>8В</t>
        </is>
      </c>
      <c r="B5" t="inlineStr">
        <is>
          <t>Зубарев Алексей Михайлович</t>
        </is>
      </c>
      <c r="D5" t="inlineStr">
        <is>
          <t>4Г</t>
        </is>
      </c>
      <c r="E5">
        <f>COUNTIF(A:A, "4Г")</f>
        <v/>
      </c>
    </row>
    <row r="6">
      <c r="D6" t="inlineStr">
        <is>
          <t>4Д</t>
        </is>
      </c>
      <c r="E6">
        <f>COUNTIF(A:A, "4Д")</f>
        <v/>
      </c>
    </row>
    <row r="7">
      <c r="D7" t="inlineStr">
        <is>
          <t>5А</t>
        </is>
      </c>
      <c r="E7">
        <f>COUNTIF(A:A, "5А")</f>
        <v/>
      </c>
    </row>
    <row r="8">
      <c r="D8" t="inlineStr">
        <is>
          <t>5Б</t>
        </is>
      </c>
      <c r="E8">
        <f>COUNTIF(A:A, "5Б")</f>
        <v/>
      </c>
    </row>
    <row r="9">
      <c r="D9" t="inlineStr">
        <is>
          <t>5В</t>
        </is>
      </c>
      <c r="E9">
        <f>COUNTIF(A:A, "5В")</f>
        <v/>
      </c>
    </row>
    <row r="10">
      <c r="D10" t="inlineStr">
        <is>
          <t>5Г</t>
        </is>
      </c>
      <c r="E10">
        <f>COUNTIF(A:A, "5Г")</f>
        <v/>
      </c>
    </row>
    <row r="11">
      <c r="D11" t="inlineStr">
        <is>
          <t>5Д</t>
        </is>
      </c>
      <c r="E11">
        <f>COUNTIF(A:A, "5Д")</f>
        <v/>
      </c>
    </row>
    <row r="12">
      <c r="D12" t="inlineStr">
        <is>
          <t>6А</t>
        </is>
      </c>
      <c r="E12">
        <f>COUNTIF(A:A, "6А")</f>
        <v/>
      </c>
    </row>
    <row r="13">
      <c r="D13" t="inlineStr">
        <is>
          <t>6Б</t>
        </is>
      </c>
      <c r="E13">
        <f>COUNTIF(A:A, "6Б")</f>
        <v/>
      </c>
    </row>
    <row r="14">
      <c r="D14" t="inlineStr">
        <is>
          <t>6В</t>
        </is>
      </c>
      <c r="E14">
        <f>COUNTIF(A:A, "6В")</f>
        <v/>
      </c>
    </row>
    <row r="15">
      <c r="D15" t="inlineStr">
        <is>
          <t>6Г</t>
        </is>
      </c>
      <c r="E15">
        <f>COUNTIF(A:A, "6Г")</f>
        <v/>
      </c>
    </row>
    <row r="16">
      <c r="D16" t="inlineStr">
        <is>
          <t>6Д</t>
        </is>
      </c>
      <c r="E16">
        <f>COUNTIF(A:A, "6Д")</f>
        <v/>
      </c>
    </row>
    <row r="17">
      <c r="D17" t="inlineStr">
        <is>
          <t>7А</t>
        </is>
      </c>
      <c r="E17">
        <f>COUNTIF(A:A, "7А")</f>
        <v/>
      </c>
    </row>
    <row r="18">
      <c r="D18" t="inlineStr">
        <is>
          <t>7Б</t>
        </is>
      </c>
      <c r="E18">
        <f>COUNTIF(A:A, "7Б")</f>
        <v/>
      </c>
    </row>
    <row r="19">
      <c r="D19" t="inlineStr">
        <is>
          <t>7В</t>
        </is>
      </c>
      <c r="E19">
        <f>COUNTIF(A:A, "7В")</f>
        <v/>
      </c>
    </row>
    <row r="20">
      <c r="D20" t="inlineStr">
        <is>
          <t>7Г</t>
        </is>
      </c>
      <c r="E20">
        <f>COUNTIF(A:A, "7Г")</f>
        <v/>
      </c>
    </row>
    <row r="21">
      <c r="D21" t="inlineStr">
        <is>
          <t>8А</t>
        </is>
      </c>
      <c r="E21">
        <f>COUNTIF(A:A, "8А")</f>
        <v/>
      </c>
    </row>
    <row r="22">
      <c r="D22" t="inlineStr">
        <is>
          <t>8Б</t>
        </is>
      </c>
      <c r="E22">
        <f>COUNTIF(A:A, "8Б")</f>
        <v/>
      </c>
    </row>
    <row r="23">
      <c r="D23" t="inlineStr">
        <is>
          <t>8В</t>
        </is>
      </c>
      <c r="E23">
        <f>COUNTIF(A:A, "8В")</f>
        <v/>
      </c>
    </row>
    <row r="24">
      <c r="D24" t="inlineStr">
        <is>
          <t>9А</t>
        </is>
      </c>
      <c r="E24">
        <f>COUNTIF(A:A, "9А")</f>
        <v/>
      </c>
    </row>
    <row r="25">
      <c r="D25" t="inlineStr">
        <is>
          <t>9Б</t>
        </is>
      </c>
      <c r="E25">
        <f>COUNTIF(A:A, "9Б")</f>
        <v/>
      </c>
    </row>
    <row r="26">
      <c r="D26" t="inlineStr">
        <is>
          <t>9В</t>
        </is>
      </c>
      <c r="E26">
        <f>COUNTIF(A:A, "9В")</f>
        <v/>
      </c>
    </row>
    <row r="27">
      <c r="D27" t="inlineStr">
        <is>
          <t>9Г</t>
        </is>
      </c>
      <c r="E27">
        <f>COUNTIF(A:A, "9Г")</f>
        <v/>
      </c>
    </row>
    <row r="28">
      <c r="D28" t="inlineStr">
        <is>
          <t>10А</t>
        </is>
      </c>
      <c r="E28">
        <f>COUNTIF(A:A, "10А")</f>
        <v/>
      </c>
    </row>
    <row r="29">
      <c r="D29" t="inlineStr">
        <is>
          <t>10Б</t>
        </is>
      </c>
      <c r="E29">
        <f>COUNTIF(A:A, "10Б")</f>
        <v/>
      </c>
    </row>
    <row r="30">
      <c r="D30" t="inlineStr">
        <is>
          <t>11А</t>
        </is>
      </c>
      <c r="E30">
        <f>COUNTIF(A:A, "11А")</f>
        <v/>
      </c>
    </row>
    <row r="31">
      <c r="D31" t="inlineStr">
        <is>
          <t>11Б</t>
        </is>
      </c>
      <c r="E31">
        <f>COUNTIF(A:A, "11Б")</f>
        <v/>
      </c>
    </row>
    <row r="32">
      <c r="D32" s="1" t="inlineStr">
        <is>
          <t xml:space="preserve">Всего: </t>
        </is>
      </c>
      <c r="E32">
        <f>SUM(E2:E31)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50" customWidth="1" min="2" max="2"/>
  </cols>
  <sheetData>
    <row r="1">
      <c r="A1" s="1" t="inlineStr">
        <is>
          <t>Класс</t>
        </is>
      </c>
      <c r="B1" s="1" t="inlineStr">
        <is>
          <t>Ученик</t>
        </is>
      </c>
      <c r="D1" s="1" t="inlineStr">
        <is>
          <t>Класс</t>
        </is>
      </c>
      <c r="E1" s="1" t="inlineStr">
        <is>
          <t>Кол-во</t>
        </is>
      </c>
    </row>
    <row r="2">
      <c r="A2" t="inlineStr">
        <is>
          <t>8В</t>
        </is>
      </c>
      <c r="B2" t="inlineStr">
        <is>
          <t>Ланской Владислав Анатольевич</t>
        </is>
      </c>
      <c r="D2" t="inlineStr">
        <is>
          <t>4А</t>
        </is>
      </c>
      <c r="E2">
        <f>COUNTIF(A:A, "4А")</f>
        <v/>
      </c>
    </row>
    <row r="3">
      <c r="A3" t="inlineStr">
        <is>
          <t>8В</t>
        </is>
      </c>
      <c r="B3" t="inlineStr">
        <is>
          <t>Ланской Станислав Анатольевич</t>
        </is>
      </c>
      <c r="D3" t="inlineStr">
        <is>
          <t>4Б</t>
        </is>
      </c>
      <c r="E3">
        <f>COUNTIF(A:A, "4Б")</f>
        <v/>
      </c>
    </row>
    <row r="4">
      <c r="A4" t="inlineStr">
        <is>
          <t>8В</t>
        </is>
      </c>
      <c r="B4" t="inlineStr">
        <is>
          <t>Михайлова Милана Сергеевна</t>
        </is>
      </c>
      <c r="D4" t="inlineStr">
        <is>
          <t>4В</t>
        </is>
      </c>
      <c r="E4">
        <f>COUNTIF(A:A, "4В")</f>
        <v/>
      </c>
    </row>
    <row r="5">
      <c r="A5" t="inlineStr">
        <is>
          <t>8В</t>
        </is>
      </c>
      <c r="B5" t="inlineStr">
        <is>
          <t>Мкртчян Милена Артемовна</t>
        </is>
      </c>
      <c r="D5" t="inlineStr">
        <is>
          <t>4Г</t>
        </is>
      </c>
      <c r="E5">
        <f>COUNTIF(A:A, "4Г")</f>
        <v/>
      </c>
    </row>
    <row r="6">
      <c r="D6" t="inlineStr">
        <is>
          <t>4Д</t>
        </is>
      </c>
      <c r="E6">
        <f>COUNTIF(A:A, "4Д")</f>
        <v/>
      </c>
    </row>
    <row r="7">
      <c r="D7" t="inlineStr">
        <is>
          <t>5А</t>
        </is>
      </c>
      <c r="E7">
        <f>COUNTIF(A:A, "5А")</f>
        <v/>
      </c>
    </row>
    <row r="8">
      <c r="D8" t="inlineStr">
        <is>
          <t>5Б</t>
        </is>
      </c>
      <c r="E8">
        <f>COUNTIF(A:A, "5Б")</f>
        <v/>
      </c>
    </row>
    <row r="9">
      <c r="D9" t="inlineStr">
        <is>
          <t>5В</t>
        </is>
      </c>
      <c r="E9">
        <f>COUNTIF(A:A, "5В")</f>
        <v/>
      </c>
    </row>
    <row r="10">
      <c r="D10" t="inlineStr">
        <is>
          <t>5Г</t>
        </is>
      </c>
      <c r="E10">
        <f>COUNTIF(A:A, "5Г")</f>
        <v/>
      </c>
    </row>
    <row r="11">
      <c r="D11" t="inlineStr">
        <is>
          <t>5Д</t>
        </is>
      </c>
      <c r="E11">
        <f>COUNTIF(A:A, "5Д")</f>
        <v/>
      </c>
    </row>
    <row r="12">
      <c r="D12" t="inlineStr">
        <is>
          <t>6А</t>
        </is>
      </c>
      <c r="E12">
        <f>COUNTIF(A:A, "6А")</f>
        <v/>
      </c>
    </row>
    <row r="13">
      <c r="D13" t="inlineStr">
        <is>
          <t>6Б</t>
        </is>
      </c>
      <c r="E13">
        <f>COUNTIF(A:A, "6Б")</f>
        <v/>
      </c>
    </row>
    <row r="14">
      <c r="D14" t="inlineStr">
        <is>
          <t>6В</t>
        </is>
      </c>
      <c r="E14">
        <f>COUNTIF(A:A, "6В")</f>
        <v/>
      </c>
    </row>
    <row r="15">
      <c r="D15" t="inlineStr">
        <is>
          <t>6Г</t>
        </is>
      </c>
      <c r="E15">
        <f>COUNTIF(A:A, "6Г")</f>
        <v/>
      </c>
    </row>
    <row r="16">
      <c r="D16" t="inlineStr">
        <is>
          <t>6Д</t>
        </is>
      </c>
      <c r="E16">
        <f>COUNTIF(A:A, "6Д")</f>
        <v/>
      </c>
    </row>
    <row r="17">
      <c r="D17" t="inlineStr">
        <is>
          <t>7А</t>
        </is>
      </c>
      <c r="E17">
        <f>COUNTIF(A:A, "7А")</f>
        <v/>
      </c>
    </row>
    <row r="18">
      <c r="D18" t="inlineStr">
        <is>
          <t>7Б</t>
        </is>
      </c>
      <c r="E18">
        <f>COUNTIF(A:A, "7Б")</f>
        <v/>
      </c>
    </row>
    <row r="19">
      <c r="D19" t="inlineStr">
        <is>
          <t>7В</t>
        </is>
      </c>
      <c r="E19">
        <f>COUNTIF(A:A, "7В")</f>
        <v/>
      </c>
    </row>
    <row r="20">
      <c r="D20" t="inlineStr">
        <is>
          <t>7Г</t>
        </is>
      </c>
      <c r="E20">
        <f>COUNTIF(A:A, "7Г")</f>
        <v/>
      </c>
    </row>
    <row r="21">
      <c r="D21" t="inlineStr">
        <is>
          <t>8А</t>
        </is>
      </c>
      <c r="E21">
        <f>COUNTIF(A:A, "8А")</f>
        <v/>
      </c>
    </row>
    <row r="22">
      <c r="D22" t="inlineStr">
        <is>
          <t>8Б</t>
        </is>
      </c>
      <c r="E22">
        <f>COUNTIF(A:A, "8Б")</f>
        <v/>
      </c>
    </row>
    <row r="23">
      <c r="D23" t="inlineStr">
        <is>
          <t>8В</t>
        </is>
      </c>
      <c r="E23">
        <f>COUNTIF(A:A, "8В")</f>
        <v/>
      </c>
    </row>
    <row r="24">
      <c r="D24" t="inlineStr">
        <is>
          <t>9А</t>
        </is>
      </c>
      <c r="E24">
        <f>COUNTIF(A:A, "9А")</f>
        <v/>
      </c>
    </row>
    <row r="25">
      <c r="D25" t="inlineStr">
        <is>
          <t>9Б</t>
        </is>
      </c>
      <c r="E25">
        <f>COUNTIF(A:A, "9Б")</f>
        <v/>
      </c>
    </row>
    <row r="26">
      <c r="D26" t="inlineStr">
        <is>
          <t>9В</t>
        </is>
      </c>
      <c r="E26">
        <f>COUNTIF(A:A, "9В")</f>
        <v/>
      </c>
    </row>
    <row r="27">
      <c r="D27" t="inlineStr">
        <is>
          <t>9Г</t>
        </is>
      </c>
      <c r="E27">
        <f>COUNTIF(A:A, "9Г")</f>
        <v/>
      </c>
    </row>
    <row r="28">
      <c r="D28" t="inlineStr">
        <is>
          <t>10А</t>
        </is>
      </c>
      <c r="E28">
        <f>COUNTIF(A:A, "10А")</f>
        <v/>
      </c>
    </row>
    <row r="29">
      <c r="D29" t="inlineStr">
        <is>
          <t>10Б</t>
        </is>
      </c>
      <c r="E29">
        <f>COUNTIF(A:A, "10Б")</f>
        <v/>
      </c>
    </row>
    <row r="30">
      <c r="D30" t="inlineStr">
        <is>
          <t>11А</t>
        </is>
      </c>
      <c r="E30">
        <f>COUNTIF(A:A, "11А")</f>
        <v/>
      </c>
    </row>
    <row r="31">
      <c r="D31" t="inlineStr">
        <is>
          <t>11Б</t>
        </is>
      </c>
      <c r="E31">
        <f>COUNTIF(A:A, "11Б")</f>
        <v/>
      </c>
    </row>
    <row r="32">
      <c r="D32" s="1" t="inlineStr">
        <is>
          <t xml:space="preserve">Всего: </t>
        </is>
      </c>
      <c r="E32">
        <f>SUM(E2:E31)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50" customWidth="1" min="2" max="2"/>
  </cols>
  <sheetData>
    <row r="1">
      <c r="A1" s="1" t="inlineStr">
        <is>
          <t>Класс</t>
        </is>
      </c>
      <c r="B1" s="1" t="inlineStr">
        <is>
          <t>Ученик</t>
        </is>
      </c>
      <c r="D1" s="1" t="inlineStr">
        <is>
          <t>Класс</t>
        </is>
      </c>
      <c r="E1" s="1" t="inlineStr">
        <is>
          <t>Кол-во</t>
        </is>
      </c>
    </row>
    <row r="2">
      <c r="A2" t="inlineStr">
        <is>
          <t>8В</t>
        </is>
      </c>
      <c r="B2" t="inlineStr">
        <is>
          <t>Кичигин Юрий Алексеевич</t>
        </is>
      </c>
      <c r="D2" t="inlineStr">
        <is>
          <t>4А</t>
        </is>
      </c>
      <c r="E2">
        <f>COUNTIF(A:A, "4А")</f>
        <v/>
      </c>
    </row>
    <row r="3">
      <c r="A3" t="inlineStr">
        <is>
          <t>8В</t>
        </is>
      </c>
      <c r="B3" t="inlineStr">
        <is>
          <t>Колесова Диана Альбертовна</t>
        </is>
      </c>
      <c r="D3" t="inlineStr">
        <is>
          <t>4Б</t>
        </is>
      </c>
      <c r="E3">
        <f>COUNTIF(A:A, "4Б")</f>
        <v/>
      </c>
    </row>
    <row r="4">
      <c r="A4" t="inlineStr">
        <is>
          <t>8В</t>
        </is>
      </c>
      <c r="B4" t="inlineStr">
        <is>
          <t>Котова Мирослава Эдуардовна</t>
        </is>
      </c>
      <c r="D4" t="inlineStr">
        <is>
          <t>4В</t>
        </is>
      </c>
      <c r="E4">
        <f>COUNTIF(A:A, "4В")</f>
        <v/>
      </c>
    </row>
    <row r="5">
      <c r="A5" t="inlineStr">
        <is>
          <t>8В</t>
        </is>
      </c>
      <c r="B5" t="inlineStr">
        <is>
          <t>Ланской Владислав Анатольевич</t>
        </is>
      </c>
      <c r="D5" t="inlineStr">
        <is>
          <t>4Г</t>
        </is>
      </c>
      <c r="E5">
        <f>COUNTIF(A:A, "4Г")</f>
        <v/>
      </c>
    </row>
    <row r="6">
      <c r="D6" t="inlineStr">
        <is>
          <t>4Д</t>
        </is>
      </c>
      <c r="E6">
        <f>COUNTIF(A:A, "4Д")</f>
        <v/>
      </c>
    </row>
    <row r="7">
      <c r="D7" t="inlineStr">
        <is>
          <t>5А</t>
        </is>
      </c>
      <c r="E7">
        <f>COUNTIF(A:A, "5А")</f>
        <v/>
      </c>
    </row>
    <row r="8">
      <c r="D8" t="inlineStr">
        <is>
          <t>5Б</t>
        </is>
      </c>
      <c r="E8">
        <f>COUNTIF(A:A, "5Б")</f>
        <v/>
      </c>
    </row>
    <row r="9">
      <c r="D9" t="inlineStr">
        <is>
          <t>5В</t>
        </is>
      </c>
      <c r="E9">
        <f>COUNTIF(A:A, "5В")</f>
        <v/>
      </c>
    </row>
    <row r="10">
      <c r="D10" t="inlineStr">
        <is>
          <t>5Г</t>
        </is>
      </c>
      <c r="E10">
        <f>COUNTIF(A:A, "5Г")</f>
        <v/>
      </c>
    </row>
    <row r="11">
      <c r="D11" t="inlineStr">
        <is>
          <t>5Д</t>
        </is>
      </c>
      <c r="E11">
        <f>COUNTIF(A:A, "5Д")</f>
        <v/>
      </c>
    </row>
    <row r="12">
      <c r="D12" t="inlineStr">
        <is>
          <t>6А</t>
        </is>
      </c>
      <c r="E12">
        <f>COUNTIF(A:A, "6А")</f>
        <v/>
      </c>
    </row>
    <row r="13">
      <c r="D13" t="inlineStr">
        <is>
          <t>6Б</t>
        </is>
      </c>
      <c r="E13">
        <f>COUNTIF(A:A, "6Б")</f>
        <v/>
      </c>
    </row>
    <row r="14">
      <c r="D14" t="inlineStr">
        <is>
          <t>6В</t>
        </is>
      </c>
      <c r="E14">
        <f>COUNTIF(A:A, "6В")</f>
        <v/>
      </c>
    </row>
    <row r="15">
      <c r="D15" t="inlineStr">
        <is>
          <t>6Г</t>
        </is>
      </c>
      <c r="E15">
        <f>COUNTIF(A:A, "6Г")</f>
        <v/>
      </c>
    </row>
    <row r="16">
      <c r="D16" t="inlineStr">
        <is>
          <t>6Д</t>
        </is>
      </c>
      <c r="E16">
        <f>COUNTIF(A:A, "6Д")</f>
        <v/>
      </c>
    </row>
    <row r="17">
      <c r="D17" t="inlineStr">
        <is>
          <t>7А</t>
        </is>
      </c>
      <c r="E17">
        <f>COUNTIF(A:A, "7А")</f>
        <v/>
      </c>
    </row>
    <row r="18">
      <c r="D18" t="inlineStr">
        <is>
          <t>7Б</t>
        </is>
      </c>
      <c r="E18">
        <f>COUNTIF(A:A, "7Б")</f>
        <v/>
      </c>
    </row>
    <row r="19">
      <c r="D19" t="inlineStr">
        <is>
          <t>7В</t>
        </is>
      </c>
      <c r="E19">
        <f>COUNTIF(A:A, "7В")</f>
        <v/>
      </c>
    </row>
    <row r="20">
      <c r="D20" t="inlineStr">
        <is>
          <t>7Г</t>
        </is>
      </c>
      <c r="E20">
        <f>COUNTIF(A:A, "7Г")</f>
        <v/>
      </c>
    </row>
    <row r="21">
      <c r="D21" t="inlineStr">
        <is>
          <t>8А</t>
        </is>
      </c>
      <c r="E21">
        <f>COUNTIF(A:A, "8А")</f>
        <v/>
      </c>
    </row>
    <row r="22">
      <c r="D22" t="inlineStr">
        <is>
          <t>8Б</t>
        </is>
      </c>
      <c r="E22">
        <f>COUNTIF(A:A, "8Б")</f>
        <v/>
      </c>
    </row>
    <row r="23">
      <c r="D23" t="inlineStr">
        <is>
          <t>8В</t>
        </is>
      </c>
      <c r="E23">
        <f>COUNTIF(A:A, "8В")</f>
        <v/>
      </c>
    </row>
    <row r="24">
      <c r="D24" t="inlineStr">
        <is>
          <t>9А</t>
        </is>
      </c>
      <c r="E24">
        <f>COUNTIF(A:A, "9А")</f>
        <v/>
      </c>
    </row>
    <row r="25">
      <c r="D25" t="inlineStr">
        <is>
          <t>9Б</t>
        </is>
      </c>
      <c r="E25">
        <f>COUNTIF(A:A, "9Б")</f>
        <v/>
      </c>
    </row>
    <row r="26">
      <c r="D26" t="inlineStr">
        <is>
          <t>9В</t>
        </is>
      </c>
      <c r="E26">
        <f>COUNTIF(A:A, "9В")</f>
        <v/>
      </c>
    </row>
    <row r="27">
      <c r="D27" t="inlineStr">
        <is>
          <t>9Г</t>
        </is>
      </c>
      <c r="E27">
        <f>COUNTIF(A:A, "9Г")</f>
        <v/>
      </c>
    </row>
    <row r="28">
      <c r="D28" t="inlineStr">
        <is>
          <t>10А</t>
        </is>
      </c>
      <c r="E28">
        <f>COUNTIF(A:A, "10А")</f>
        <v/>
      </c>
    </row>
    <row r="29">
      <c r="D29" t="inlineStr">
        <is>
          <t>10Б</t>
        </is>
      </c>
      <c r="E29">
        <f>COUNTIF(A:A, "10Б")</f>
        <v/>
      </c>
    </row>
    <row r="30">
      <c r="D30" t="inlineStr">
        <is>
          <t>11А</t>
        </is>
      </c>
      <c r="E30">
        <f>COUNTIF(A:A, "11А")</f>
        <v/>
      </c>
    </row>
    <row r="31">
      <c r="D31" t="inlineStr">
        <is>
          <t>11Б</t>
        </is>
      </c>
      <c r="E31">
        <f>COUNTIF(A:A, "11Б")</f>
        <v/>
      </c>
    </row>
    <row r="32">
      <c r="D32" s="1" t="inlineStr">
        <is>
          <t xml:space="preserve">Всего: </t>
        </is>
      </c>
      <c r="E32">
        <f>SUM(E2:E31)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50" customWidth="1" min="2" max="2"/>
  </cols>
  <sheetData>
    <row r="1">
      <c r="A1" s="1" t="inlineStr">
        <is>
          <t>Класс</t>
        </is>
      </c>
      <c r="B1" s="1" t="inlineStr">
        <is>
          <t>Ученик</t>
        </is>
      </c>
      <c r="D1" s="1" t="inlineStr">
        <is>
          <t>Класс</t>
        </is>
      </c>
      <c r="E1" s="1" t="inlineStr">
        <is>
          <t>Кол-во</t>
        </is>
      </c>
    </row>
    <row r="2">
      <c r="A2" t="inlineStr">
        <is>
          <t>8В</t>
        </is>
      </c>
      <c r="B2" t="inlineStr">
        <is>
          <t>Мкртчян Милена Артемовна</t>
        </is>
      </c>
      <c r="D2" t="inlineStr">
        <is>
          <t>4А</t>
        </is>
      </c>
      <c r="E2">
        <f>COUNTIF(A:A, "4А")</f>
        <v/>
      </c>
    </row>
    <row r="3">
      <c r="A3" t="inlineStr">
        <is>
          <t>8В</t>
        </is>
      </c>
      <c r="B3" t="inlineStr">
        <is>
          <t>Молокова Вероника Ильинична</t>
        </is>
      </c>
      <c r="D3" t="inlineStr">
        <is>
          <t>4Б</t>
        </is>
      </c>
      <c r="E3">
        <f>COUNTIF(A:A, "4Б")</f>
        <v/>
      </c>
    </row>
    <row r="4">
      <c r="A4" t="inlineStr">
        <is>
          <t>8В</t>
        </is>
      </c>
      <c r="B4" t="inlineStr">
        <is>
          <t>Наумова Александра Павловна</t>
        </is>
      </c>
      <c r="D4" t="inlineStr">
        <is>
          <t>4В</t>
        </is>
      </c>
      <c r="E4">
        <f>COUNTIF(A:A, "4В")</f>
        <v/>
      </c>
    </row>
    <row r="5">
      <c r="A5" t="inlineStr">
        <is>
          <t>8В</t>
        </is>
      </c>
      <c r="B5" t="inlineStr">
        <is>
          <t>Непокрытый Михаил Николаевич</t>
        </is>
      </c>
      <c r="D5" t="inlineStr">
        <is>
          <t>4Г</t>
        </is>
      </c>
      <c r="E5">
        <f>COUNTIF(A:A, "4Г")</f>
        <v/>
      </c>
    </row>
    <row r="6">
      <c r="D6" t="inlineStr">
        <is>
          <t>4Д</t>
        </is>
      </c>
      <c r="E6">
        <f>COUNTIF(A:A, "4Д")</f>
        <v/>
      </c>
    </row>
    <row r="7">
      <c r="D7" t="inlineStr">
        <is>
          <t>5А</t>
        </is>
      </c>
      <c r="E7">
        <f>COUNTIF(A:A, "5А")</f>
        <v/>
      </c>
    </row>
    <row r="8">
      <c r="D8" t="inlineStr">
        <is>
          <t>5Б</t>
        </is>
      </c>
      <c r="E8">
        <f>COUNTIF(A:A, "5Б")</f>
        <v/>
      </c>
    </row>
    <row r="9">
      <c r="D9" t="inlineStr">
        <is>
          <t>5В</t>
        </is>
      </c>
      <c r="E9">
        <f>COUNTIF(A:A, "5В")</f>
        <v/>
      </c>
    </row>
    <row r="10">
      <c r="D10" t="inlineStr">
        <is>
          <t>5Г</t>
        </is>
      </c>
      <c r="E10">
        <f>COUNTIF(A:A, "5Г")</f>
        <v/>
      </c>
    </row>
    <row r="11">
      <c r="D11" t="inlineStr">
        <is>
          <t>5Д</t>
        </is>
      </c>
      <c r="E11">
        <f>COUNTIF(A:A, "5Д")</f>
        <v/>
      </c>
    </row>
    <row r="12">
      <c r="D12" t="inlineStr">
        <is>
          <t>6А</t>
        </is>
      </c>
      <c r="E12">
        <f>COUNTIF(A:A, "6А")</f>
        <v/>
      </c>
    </row>
    <row r="13">
      <c r="D13" t="inlineStr">
        <is>
          <t>6Б</t>
        </is>
      </c>
      <c r="E13">
        <f>COUNTIF(A:A, "6Б")</f>
        <v/>
      </c>
    </row>
    <row r="14">
      <c r="D14" t="inlineStr">
        <is>
          <t>6В</t>
        </is>
      </c>
      <c r="E14">
        <f>COUNTIF(A:A, "6В")</f>
        <v/>
      </c>
    </row>
    <row r="15">
      <c r="D15" t="inlineStr">
        <is>
          <t>6Г</t>
        </is>
      </c>
      <c r="E15">
        <f>COUNTIF(A:A, "6Г")</f>
        <v/>
      </c>
    </row>
    <row r="16">
      <c r="D16" t="inlineStr">
        <is>
          <t>6Д</t>
        </is>
      </c>
      <c r="E16">
        <f>COUNTIF(A:A, "6Д")</f>
        <v/>
      </c>
    </row>
    <row r="17">
      <c r="D17" t="inlineStr">
        <is>
          <t>7А</t>
        </is>
      </c>
      <c r="E17">
        <f>COUNTIF(A:A, "7А")</f>
        <v/>
      </c>
    </row>
    <row r="18">
      <c r="D18" t="inlineStr">
        <is>
          <t>7Б</t>
        </is>
      </c>
      <c r="E18">
        <f>COUNTIF(A:A, "7Б")</f>
        <v/>
      </c>
    </row>
    <row r="19">
      <c r="D19" t="inlineStr">
        <is>
          <t>7В</t>
        </is>
      </c>
      <c r="E19">
        <f>COUNTIF(A:A, "7В")</f>
        <v/>
      </c>
    </row>
    <row r="20">
      <c r="D20" t="inlineStr">
        <is>
          <t>7Г</t>
        </is>
      </c>
      <c r="E20">
        <f>COUNTIF(A:A, "7Г")</f>
        <v/>
      </c>
    </row>
    <row r="21">
      <c r="D21" t="inlineStr">
        <is>
          <t>8А</t>
        </is>
      </c>
      <c r="E21">
        <f>COUNTIF(A:A, "8А")</f>
        <v/>
      </c>
    </row>
    <row r="22">
      <c r="D22" t="inlineStr">
        <is>
          <t>8Б</t>
        </is>
      </c>
      <c r="E22">
        <f>COUNTIF(A:A, "8Б")</f>
        <v/>
      </c>
    </row>
    <row r="23">
      <c r="D23" t="inlineStr">
        <is>
          <t>8В</t>
        </is>
      </c>
      <c r="E23">
        <f>COUNTIF(A:A, "8В")</f>
        <v/>
      </c>
    </row>
    <row r="24">
      <c r="D24" t="inlineStr">
        <is>
          <t>9А</t>
        </is>
      </c>
      <c r="E24">
        <f>COUNTIF(A:A, "9А")</f>
        <v/>
      </c>
    </row>
    <row r="25">
      <c r="D25" t="inlineStr">
        <is>
          <t>9Б</t>
        </is>
      </c>
      <c r="E25">
        <f>COUNTIF(A:A, "9Б")</f>
        <v/>
      </c>
    </row>
    <row r="26">
      <c r="D26" t="inlineStr">
        <is>
          <t>9В</t>
        </is>
      </c>
      <c r="E26">
        <f>COUNTIF(A:A, "9В")</f>
        <v/>
      </c>
    </row>
    <row r="27">
      <c r="D27" t="inlineStr">
        <is>
          <t>9Г</t>
        </is>
      </c>
      <c r="E27">
        <f>COUNTIF(A:A, "9Г")</f>
        <v/>
      </c>
    </row>
    <row r="28">
      <c r="D28" t="inlineStr">
        <is>
          <t>10А</t>
        </is>
      </c>
      <c r="E28">
        <f>COUNTIF(A:A, "10А")</f>
        <v/>
      </c>
    </row>
    <row r="29">
      <c r="D29" t="inlineStr">
        <is>
          <t>10Б</t>
        </is>
      </c>
      <c r="E29">
        <f>COUNTIF(A:A, "10Б")</f>
        <v/>
      </c>
    </row>
    <row r="30">
      <c r="D30" t="inlineStr">
        <is>
          <t>11А</t>
        </is>
      </c>
      <c r="E30">
        <f>COUNTIF(A:A, "11А")</f>
        <v/>
      </c>
    </row>
    <row r="31">
      <c r="D31" t="inlineStr">
        <is>
          <t>11Б</t>
        </is>
      </c>
      <c r="E31">
        <f>COUNTIF(A:A, "11Б")</f>
        <v/>
      </c>
    </row>
    <row r="32">
      <c r="D32" s="1" t="inlineStr">
        <is>
          <t xml:space="preserve">Всего: </t>
        </is>
      </c>
      <c r="E32">
        <f>SUM(E2:E31)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50" customWidth="1" min="2" max="2"/>
  </cols>
  <sheetData>
    <row r="1">
      <c r="A1" s="1" t="inlineStr">
        <is>
          <t>Класс</t>
        </is>
      </c>
      <c r="B1" s="1" t="inlineStr">
        <is>
          <t>Ученик</t>
        </is>
      </c>
      <c r="D1" s="1" t="inlineStr">
        <is>
          <t>Класс</t>
        </is>
      </c>
      <c r="E1" s="1" t="inlineStr">
        <is>
          <t>Кол-во</t>
        </is>
      </c>
    </row>
    <row r="2">
      <c r="A2" t="inlineStr">
        <is>
          <t>5А</t>
        </is>
      </c>
      <c r="B2" t="inlineStr">
        <is>
          <t>Бадалян Анна Андреевна</t>
        </is>
      </c>
      <c r="D2" t="inlineStr">
        <is>
          <t>4А</t>
        </is>
      </c>
      <c r="E2">
        <f>COUNTIF(A:A, "4А")</f>
        <v/>
      </c>
    </row>
    <row r="3">
      <c r="A3" t="inlineStr">
        <is>
          <t>5А</t>
        </is>
      </c>
      <c r="B3" t="inlineStr">
        <is>
          <t>Берсенев Кирилл Евгеньевич</t>
        </is>
      </c>
      <c r="D3" t="inlineStr">
        <is>
          <t>4Б</t>
        </is>
      </c>
      <c r="E3">
        <f>COUNTIF(A:A, "4Б")</f>
        <v/>
      </c>
    </row>
    <row r="4">
      <c r="A4" t="inlineStr">
        <is>
          <t>5А</t>
        </is>
      </c>
      <c r="B4" t="inlineStr">
        <is>
          <t>Борейчук Мирон Алексеевич</t>
        </is>
      </c>
      <c r="D4" t="inlineStr">
        <is>
          <t>4В</t>
        </is>
      </c>
      <c r="E4">
        <f>COUNTIF(A:A, "4В")</f>
        <v/>
      </c>
    </row>
    <row r="5">
      <c r="A5" t="inlineStr">
        <is>
          <t>5А</t>
        </is>
      </c>
      <c r="B5" t="inlineStr">
        <is>
          <t>Бурбах Владимир Алексеевич</t>
        </is>
      </c>
      <c r="D5" t="inlineStr">
        <is>
          <t>4Г</t>
        </is>
      </c>
      <c r="E5">
        <f>COUNTIF(A:A, "4Г")</f>
        <v/>
      </c>
    </row>
    <row r="6">
      <c r="A6" t="inlineStr">
        <is>
          <t>5А</t>
        </is>
      </c>
      <c r="B6" t="inlineStr">
        <is>
          <t>Глагольева Анастасия Витальевна</t>
        </is>
      </c>
      <c r="D6" t="inlineStr">
        <is>
          <t>4Д</t>
        </is>
      </c>
      <c r="E6">
        <f>COUNTIF(A:A, "4Д")</f>
        <v/>
      </c>
    </row>
    <row r="7">
      <c r="A7" t="inlineStr">
        <is>
          <t>5А</t>
        </is>
      </c>
      <c r="B7" t="inlineStr">
        <is>
          <t>Голев Артем Андреевич</t>
        </is>
      </c>
      <c r="D7" t="inlineStr">
        <is>
          <t>5А</t>
        </is>
      </c>
      <c r="E7">
        <f>COUNTIF(A:A, "5А")</f>
        <v/>
      </c>
    </row>
    <row r="8">
      <c r="A8" t="inlineStr">
        <is>
          <t>5А</t>
        </is>
      </c>
      <c r="B8" t="inlineStr">
        <is>
          <t>Гордюк Станислава Юрьевна</t>
        </is>
      </c>
      <c r="D8" t="inlineStr">
        <is>
          <t>5Б</t>
        </is>
      </c>
      <c r="E8">
        <f>COUNTIF(A:A, "5Б")</f>
        <v/>
      </c>
    </row>
    <row r="9">
      <c r="A9" t="inlineStr">
        <is>
          <t>5А</t>
        </is>
      </c>
      <c r="B9" t="inlineStr">
        <is>
          <t>Долгих Амина Махмадшоевна</t>
        </is>
      </c>
      <c r="D9" t="inlineStr">
        <is>
          <t>5В</t>
        </is>
      </c>
      <c r="E9">
        <f>COUNTIF(A:A, "5В")</f>
        <v/>
      </c>
    </row>
    <row r="10">
      <c r="A10" t="inlineStr">
        <is>
          <t>5А</t>
        </is>
      </c>
      <c r="B10" t="inlineStr">
        <is>
          <t>Донцова Алёна Андреевна</t>
        </is>
      </c>
      <c r="D10" t="inlineStr">
        <is>
          <t>5Г</t>
        </is>
      </c>
      <c r="E10">
        <f>COUNTIF(A:A, "5Г")</f>
        <v/>
      </c>
    </row>
    <row r="11">
      <c r="A11" t="inlineStr">
        <is>
          <t>5А</t>
        </is>
      </c>
      <c r="B11" t="inlineStr">
        <is>
          <t>Закирянова Арина Вадимовна</t>
        </is>
      </c>
      <c r="D11" t="inlineStr">
        <is>
          <t>5Д</t>
        </is>
      </c>
      <c r="E11">
        <f>COUNTIF(A:A, "5Д")</f>
        <v/>
      </c>
    </row>
    <row r="12">
      <c r="A12" t="inlineStr">
        <is>
          <t>5А</t>
        </is>
      </c>
      <c r="B12" t="inlineStr">
        <is>
          <t>Замятин Михаил Алексеевич</t>
        </is>
      </c>
      <c r="D12" t="inlineStr">
        <is>
          <t>6А</t>
        </is>
      </c>
      <c r="E12">
        <f>COUNTIF(A:A, "6А")</f>
        <v/>
      </c>
    </row>
    <row r="13">
      <c r="A13" t="inlineStr">
        <is>
          <t>5А</t>
        </is>
      </c>
      <c r="B13" t="inlineStr">
        <is>
          <t>Кадников Максим Дмитриевич</t>
        </is>
      </c>
      <c r="D13" t="inlineStr">
        <is>
          <t>6Б</t>
        </is>
      </c>
      <c r="E13">
        <f>COUNTIF(A:A, "6Б")</f>
        <v/>
      </c>
    </row>
    <row r="14">
      <c r="A14" t="inlineStr">
        <is>
          <t>5А</t>
        </is>
      </c>
      <c r="B14" t="inlineStr">
        <is>
          <t>Королева Ольга Вячеславовна</t>
        </is>
      </c>
      <c r="D14" t="inlineStr">
        <is>
          <t>6В</t>
        </is>
      </c>
      <c r="E14">
        <f>COUNTIF(A:A, "6В")</f>
        <v/>
      </c>
    </row>
    <row r="15">
      <c r="A15" t="inlineStr">
        <is>
          <t>5А</t>
        </is>
      </c>
      <c r="B15" t="inlineStr">
        <is>
          <t>Костенко Кирилл Алексеевич</t>
        </is>
      </c>
      <c r="D15" t="inlineStr">
        <is>
          <t>6Г</t>
        </is>
      </c>
      <c r="E15">
        <f>COUNTIF(A:A, "6Г")</f>
        <v/>
      </c>
    </row>
    <row r="16">
      <c r="A16" t="inlineStr">
        <is>
          <t>5А</t>
        </is>
      </c>
      <c r="B16" t="inlineStr">
        <is>
          <t>Кульментьев Клим Даниилович</t>
        </is>
      </c>
      <c r="D16" t="inlineStr">
        <is>
          <t>6Д</t>
        </is>
      </c>
      <c r="E16">
        <f>COUNTIF(A:A, "6Д")</f>
        <v/>
      </c>
    </row>
    <row r="17">
      <c r="A17" t="inlineStr">
        <is>
          <t>8В</t>
        </is>
      </c>
      <c r="B17" t="inlineStr">
        <is>
          <t>Непокрытый Михаил Николаевич</t>
        </is>
      </c>
      <c r="D17" t="inlineStr">
        <is>
          <t>7А</t>
        </is>
      </c>
      <c r="E17">
        <f>COUNTIF(A:A, "7А")</f>
        <v/>
      </c>
    </row>
    <row r="18">
      <c r="A18" t="inlineStr">
        <is>
          <t>8В</t>
        </is>
      </c>
      <c r="B18" t="inlineStr">
        <is>
          <t>Оглоблина Ксения Владимировна</t>
        </is>
      </c>
      <c r="D18" t="inlineStr">
        <is>
          <t>7Б</t>
        </is>
      </c>
      <c r="E18">
        <f>COUNTIF(A:A, "7Б")</f>
        <v/>
      </c>
    </row>
    <row r="19">
      <c r="A19" t="inlineStr">
        <is>
          <t>8В</t>
        </is>
      </c>
      <c r="B19" t="inlineStr">
        <is>
          <t>Перминов Кирилл Андреевич</t>
        </is>
      </c>
      <c r="D19" t="inlineStr">
        <is>
          <t>7В</t>
        </is>
      </c>
      <c r="E19">
        <f>COUNTIF(A:A, "7В")</f>
        <v/>
      </c>
    </row>
    <row r="20">
      <c r="A20" t="inlineStr">
        <is>
          <t>8В</t>
        </is>
      </c>
      <c r="B20" t="inlineStr">
        <is>
          <t>Попов Сергей Александрович</t>
        </is>
      </c>
      <c r="D20" t="inlineStr">
        <is>
          <t>7Г</t>
        </is>
      </c>
      <c r="E20">
        <f>COUNTIF(A:A, "7Г")</f>
        <v/>
      </c>
    </row>
    <row r="21">
      <c r="D21" t="inlineStr">
        <is>
          <t>8А</t>
        </is>
      </c>
      <c r="E21">
        <f>COUNTIF(A:A, "8А")</f>
        <v/>
      </c>
    </row>
    <row r="22">
      <c r="D22" t="inlineStr">
        <is>
          <t>8Б</t>
        </is>
      </c>
      <c r="E22">
        <f>COUNTIF(A:A, "8Б")</f>
        <v/>
      </c>
    </row>
    <row r="23">
      <c r="D23" t="inlineStr">
        <is>
          <t>8В</t>
        </is>
      </c>
      <c r="E23">
        <f>COUNTIF(A:A, "8В")</f>
        <v/>
      </c>
    </row>
    <row r="24">
      <c r="D24" t="inlineStr">
        <is>
          <t>9А</t>
        </is>
      </c>
      <c r="E24">
        <f>COUNTIF(A:A, "9А")</f>
        <v/>
      </c>
    </row>
    <row r="25">
      <c r="D25" t="inlineStr">
        <is>
          <t>9Б</t>
        </is>
      </c>
      <c r="E25">
        <f>COUNTIF(A:A, "9Б")</f>
        <v/>
      </c>
    </row>
    <row r="26">
      <c r="D26" t="inlineStr">
        <is>
          <t>9В</t>
        </is>
      </c>
      <c r="E26">
        <f>COUNTIF(A:A, "9В")</f>
        <v/>
      </c>
    </row>
    <row r="27">
      <c r="D27" t="inlineStr">
        <is>
          <t>9Г</t>
        </is>
      </c>
      <c r="E27">
        <f>COUNTIF(A:A, "9Г")</f>
        <v/>
      </c>
    </row>
    <row r="28">
      <c r="D28" t="inlineStr">
        <is>
          <t>10А</t>
        </is>
      </c>
      <c r="E28">
        <f>COUNTIF(A:A, "10А")</f>
        <v/>
      </c>
    </row>
    <row r="29">
      <c r="D29" t="inlineStr">
        <is>
          <t>10Б</t>
        </is>
      </c>
      <c r="E29">
        <f>COUNTIF(A:A, "10Б")</f>
        <v/>
      </c>
    </row>
    <row r="30">
      <c r="D30" t="inlineStr">
        <is>
          <t>11А</t>
        </is>
      </c>
      <c r="E30">
        <f>COUNTIF(A:A, "11А")</f>
        <v/>
      </c>
    </row>
    <row r="31">
      <c r="D31" t="inlineStr">
        <is>
          <t>11Б</t>
        </is>
      </c>
      <c r="E31">
        <f>COUNTIF(A:A, "11Б")</f>
        <v/>
      </c>
    </row>
    <row r="32">
      <c r="D32" s="1" t="inlineStr">
        <is>
          <t xml:space="preserve">Всего: </t>
        </is>
      </c>
      <c r="E32">
        <f>SUM(E2:E31)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50" customWidth="1" min="2" max="2"/>
  </cols>
  <sheetData>
    <row r="1">
      <c r="A1" s="1" t="inlineStr">
        <is>
          <t>Класс</t>
        </is>
      </c>
      <c r="B1" s="1" t="inlineStr">
        <is>
          <t>Ученик</t>
        </is>
      </c>
      <c r="D1" s="1" t="inlineStr">
        <is>
          <t>Класс</t>
        </is>
      </c>
      <c r="E1" s="1" t="inlineStr">
        <is>
          <t>Кол-во</t>
        </is>
      </c>
    </row>
    <row r="2">
      <c r="A2" t="inlineStr">
        <is>
          <t>8В</t>
        </is>
      </c>
      <c r="B2" t="inlineStr">
        <is>
          <t>Попов Сергей Александрович</t>
        </is>
      </c>
      <c r="D2" t="inlineStr">
        <is>
          <t>4А</t>
        </is>
      </c>
      <c r="E2">
        <f>COUNTIF(A:A, "4А")</f>
        <v/>
      </c>
    </row>
    <row r="3">
      <c r="A3" t="inlineStr">
        <is>
          <t>8В</t>
        </is>
      </c>
      <c r="B3" t="inlineStr">
        <is>
          <t>Саитова Полина Тимуровна</t>
        </is>
      </c>
      <c r="D3" t="inlineStr">
        <is>
          <t>4Б</t>
        </is>
      </c>
      <c r="E3">
        <f>COUNTIF(A:A, "4Б")</f>
        <v/>
      </c>
    </row>
    <row r="4">
      <c r="A4" t="inlineStr">
        <is>
          <t>8В</t>
        </is>
      </c>
      <c r="B4" t="inlineStr">
        <is>
          <t>Тулина Маргарита Ильинична</t>
        </is>
      </c>
      <c r="D4" t="inlineStr">
        <is>
          <t>4В</t>
        </is>
      </c>
      <c r="E4">
        <f>COUNTIF(A:A, "4В")</f>
        <v/>
      </c>
    </row>
    <row r="5">
      <c r="A5" t="inlineStr">
        <is>
          <t>8В</t>
        </is>
      </c>
      <c r="B5" t="inlineStr">
        <is>
          <t>Уваров Степан Александрович</t>
        </is>
      </c>
      <c r="D5" t="inlineStr">
        <is>
          <t>4Г</t>
        </is>
      </c>
      <c r="E5">
        <f>COUNTIF(A:A, "4Г")</f>
        <v/>
      </c>
    </row>
    <row r="6">
      <c r="D6" t="inlineStr">
        <is>
          <t>4Д</t>
        </is>
      </c>
      <c r="E6">
        <f>COUNTIF(A:A, "4Д")</f>
        <v/>
      </c>
    </row>
    <row r="7">
      <c r="D7" t="inlineStr">
        <is>
          <t>5А</t>
        </is>
      </c>
      <c r="E7">
        <f>COUNTIF(A:A, "5А")</f>
        <v/>
      </c>
    </row>
    <row r="8">
      <c r="D8" t="inlineStr">
        <is>
          <t>5Б</t>
        </is>
      </c>
      <c r="E8">
        <f>COUNTIF(A:A, "5Б")</f>
        <v/>
      </c>
    </row>
    <row r="9">
      <c r="D9" t="inlineStr">
        <is>
          <t>5В</t>
        </is>
      </c>
      <c r="E9">
        <f>COUNTIF(A:A, "5В")</f>
        <v/>
      </c>
    </row>
    <row r="10">
      <c r="D10" t="inlineStr">
        <is>
          <t>5Г</t>
        </is>
      </c>
      <c r="E10">
        <f>COUNTIF(A:A, "5Г")</f>
        <v/>
      </c>
    </row>
    <row r="11">
      <c r="D11" t="inlineStr">
        <is>
          <t>5Д</t>
        </is>
      </c>
      <c r="E11">
        <f>COUNTIF(A:A, "5Д")</f>
        <v/>
      </c>
    </row>
    <row r="12">
      <c r="D12" t="inlineStr">
        <is>
          <t>6А</t>
        </is>
      </c>
      <c r="E12">
        <f>COUNTIF(A:A, "6А")</f>
        <v/>
      </c>
    </row>
    <row r="13">
      <c r="D13" t="inlineStr">
        <is>
          <t>6Б</t>
        </is>
      </c>
      <c r="E13">
        <f>COUNTIF(A:A, "6Б")</f>
        <v/>
      </c>
    </row>
    <row r="14">
      <c r="D14" t="inlineStr">
        <is>
          <t>6В</t>
        </is>
      </c>
      <c r="E14">
        <f>COUNTIF(A:A, "6В")</f>
        <v/>
      </c>
    </row>
    <row r="15">
      <c r="D15" t="inlineStr">
        <is>
          <t>6Г</t>
        </is>
      </c>
      <c r="E15">
        <f>COUNTIF(A:A, "6Г")</f>
        <v/>
      </c>
    </row>
    <row r="16">
      <c r="D16" t="inlineStr">
        <is>
          <t>6Д</t>
        </is>
      </c>
      <c r="E16">
        <f>COUNTIF(A:A, "6Д")</f>
        <v/>
      </c>
    </row>
    <row r="17">
      <c r="D17" t="inlineStr">
        <is>
          <t>7А</t>
        </is>
      </c>
      <c r="E17">
        <f>COUNTIF(A:A, "7А")</f>
        <v/>
      </c>
    </row>
    <row r="18">
      <c r="D18" t="inlineStr">
        <is>
          <t>7Б</t>
        </is>
      </c>
      <c r="E18">
        <f>COUNTIF(A:A, "7Б")</f>
        <v/>
      </c>
    </row>
    <row r="19">
      <c r="D19" t="inlineStr">
        <is>
          <t>7В</t>
        </is>
      </c>
      <c r="E19">
        <f>COUNTIF(A:A, "7В")</f>
        <v/>
      </c>
    </row>
    <row r="20">
      <c r="D20" t="inlineStr">
        <is>
          <t>7Г</t>
        </is>
      </c>
      <c r="E20">
        <f>COUNTIF(A:A, "7Г")</f>
        <v/>
      </c>
    </row>
    <row r="21">
      <c r="D21" t="inlineStr">
        <is>
          <t>8А</t>
        </is>
      </c>
      <c r="E21">
        <f>COUNTIF(A:A, "8А")</f>
        <v/>
      </c>
    </row>
    <row r="22">
      <c r="D22" t="inlineStr">
        <is>
          <t>8Б</t>
        </is>
      </c>
      <c r="E22">
        <f>COUNTIF(A:A, "8Б")</f>
        <v/>
      </c>
    </row>
    <row r="23">
      <c r="D23" t="inlineStr">
        <is>
          <t>8В</t>
        </is>
      </c>
      <c r="E23">
        <f>COUNTIF(A:A, "8В")</f>
        <v/>
      </c>
    </row>
    <row r="24">
      <c r="D24" t="inlineStr">
        <is>
          <t>9А</t>
        </is>
      </c>
      <c r="E24">
        <f>COUNTIF(A:A, "9А")</f>
        <v/>
      </c>
    </row>
    <row r="25">
      <c r="D25" t="inlineStr">
        <is>
          <t>9Б</t>
        </is>
      </c>
      <c r="E25">
        <f>COUNTIF(A:A, "9Б")</f>
        <v/>
      </c>
    </row>
    <row r="26">
      <c r="D26" t="inlineStr">
        <is>
          <t>9В</t>
        </is>
      </c>
      <c r="E26">
        <f>COUNTIF(A:A, "9В")</f>
        <v/>
      </c>
    </row>
    <row r="27">
      <c r="D27" t="inlineStr">
        <is>
          <t>9Г</t>
        </is>
      </c>
      <c r="E27">
        <f>COUNTIF(A:A, "9Г")</f>
        <v/>
      </c>
    </row>
    <row r="28">
      <c r="D28" t="inlineStr">
        <is>
          <t>10А</t>
        </is>
      </c>
      <c r="E28">
        <f>COUNTIF(A:A, "10А")</f>
        <v/>
      </c>
    </row>
    <row r="29">
      <c r="D29" t="inlineStr">
        <is>
          <t>10Б</t>
        </is>
      </c>
      <c r="E29">
        <f>COUNTIF(A:A, "10Б")</f>
        <v/>
      </c>
    </row>
    <row r="30">
      <c r="D30" t="inlineStr">
        <is>
          <t>11А</t>
        </is>
      </c>
      <c r="E30">
        <f>COUNTIF(A:A, "11А")</f>
        <v/>
      </c>
    </row>
    <row r="31">
      <c r="D31" t="inlineStr">
        <is>
          <t>11Б</t>
        </is>
      </c>
      <c r="E31">
        <f>COUNTIF(A:A, "11Б")</f>
        <v/>
      </c>
    </row>
    <row r="32">
      <c r="D32" s="1" t="inlineStr">
        <is>
          <t xml:space="preserve">Всего: </t>
        </is>
      </c>
      <c r="E32">
        <f>SUM(E2:E31)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50" customWidth="1" min="2" max="2"/>
  </cols>
  <sheetData>
    <row r="1">
      <c r="A1" s="1" t="inlineStr">
        <is>
          <t>Класс</t>
        </is>
      </c>
      <c r="B1" s="1" t="inlineStr">
        <is>
          <t>Ученик</t>
        </is>
      </c>
      <c r="D1" s="1" t="inlineStr">
        <is>
          <t>Класс</t>
        </is>
      </c>
      <c r="E1" s="1" t="inlineStr">
        <is>
          <t>Кол-во</t>
        </is>
      </c>
    </row>
    <row r="2">
      <c r="A2" t="inlineStr">
        <is>
          <t>8В</t>
        </is>
      </c>
      <c r="B2" t="inlineStr">
        <is>
          <t>Уваров Степан Александрович</t>
        </is>
      </c>
      <c r="D2" t="inlineStr">
        <is>
          <t>4А</t>
        </is>
      </c>
      <c r="E2">
        <f>COUNTIF(A:A, "4А")</f>
        <v/>
      </c>
    </row>
    <row r="3">
      <c r="A3" t="inlineStr">
        <is>
          <t>8В</t>
        </is>
      </c>
      <c r="B3" t="inlineStr">
        <is>
          <t>Шабанов Илья Антонович</t>
        </is>
      </c>
      <c r="D3" t="inlineStr">
        <is>
          <t>4Б</t>
        </is>
      </c>
      <c r="E3">
        <f>COUNTIF(A:A, "4Б")</f>
        <v/>
      </c>
    </row>
    <row r="4">
      <c r="D4" t="inlineStr">
        <is>
          <t>4В</t>
        </is>
      </c>
      <c r="E4">
        <f>COUNTIF(A:A, "4В")</f>
        <v/>
      </c>
    </row>
    <row r="5">
      <c r="D5" t="inlineStr">
        <is>
          <t>4Г</t>
        </is>
      </c>
      <c r="E5">
        <f>COUNTIF(A:A, "4Г")</f>
        <v/>
      </c>
    </row>
    <row r="6">
      <c r="D6" t="inlineStr">
        <is>
          <t>4Д</t>
        </is>
      </c>
      <c r="E6">
        <f>COUNTIF(A:A, "4Д")</f>
        <v/>
      </c>
    </row>
    <row r="7">
      <c r="D7" t="inlineStr">
        <is>
          <t>5А</t>
        </is>
      </c>
      <c r="E7">
        <f>COUNTIF(A:A, "5А")</f>
        <v/>
      </c>
    </row>
    <row r="8">
      <c r="D8" t="inlineStr">
        <is>
          <t>5Б</t>
        </is>
      </c>
      <c r="E8">
        <f>COUNTIF(A:A, "5Б")</f>
        <v/>
      </c>
    </row>
    <row r="9">
      <c r="D9" t="inlineStr">
        <is>
          <t>5В</t>
        </is>
      </c>
      <c r="E9">
        <f>COUNTIF(A:A, "5В")</f>
        <v/>
      </c>
    </row>
    <row r="10">
      <c r="D10" t="inlineStr">
        <is>
          <t>5Г</t>
        </is>
      </c>
      <c r="E10">
        <f>COUNTIF(A:A, "5Г")</f>
        <v/>
      </c>
    </row>
    <row r="11">
      <c r="D11" t="inlineStr">
        <is>
          <t>5Д</t>
        </is>
      </c>
      <c r="E11">
        <f>COUNTIF(A:A, "5Д")</f>
        <v/>
      </c>
    </row>
    <row r="12">
      <c r="D12" t="inlineStr">
        <is>
          <t>6А</t>
        </is>
      </c>
      <c r="E12">
        <f>COUNTIF(A:A, "6А")</f>
        <v/>
      </c>
    </row>
    <row r="13">
      <c r="D13" t="inlineStr">
        <is>
          <t>6Б</t>
        </is>
      </c>
      <c r="E13">
        <f>COUNTIF(A:A, "6Б")</f>
        <v/>
      </c>
    </row>
    <row r="14">
      <c r="D14" t="inlineStr">
        <is>
          <t>6В</t>
        </is>
      </c>
      <c r="E14">
        <f>COUNTIF(A:A, "6В")</f>
        <v/>
      </c>
    </row>
    <row r="15">
      <c r="D15" t="inlineStr">
        <is>
          <t>6Г</t>
        </is>
      </c>
      <c r="E15">
        <f>COUNTIF(A:A, "6Г")</f>
        <v/>
      </c>
    </row>
    <row r="16">
      <c r="D16" t="inlineStr">
        <is>
          <t>6Д</t>
        </is>
      </c>
      <c r="E16">
        <f>COUNTIF(A:A, "6Д")</f>
        <v/>
      </c>
    </row>
    <row r="17">
      <c r="D17" t="inlineStr">
        <is>
          <t>7А</t>
        </is>
      </c>
      <c r="E17">
        <f>COUNTIF(A:A, "7А")</f>
        <v/>
      </c>
    </row>
    <row r="18">
      <c r="D18" t="inlineStr">
        <is>
          <t>7Б</t>
        </is>
      </c>
      <c r="E18">
        <f>COUNTIF(A:A, "7Б")</f>
        <v/>
      </c>
    </row>
    <row r="19">
      <c r="D19" t="inlineStr">
        <is>
          <t>7В</t>
        </is>
      </c>
      <c r="E19">
        <f>COUNTIF(A:A, "7В")</f>
        <v/>
      </c>
    </row>
    <row r="20">
      <c r="D20" t="inlineStr">
        <is>
          <t>7Г</t>
        </is>
      </c>
      <c r="E20">
        <f>COUNTIF(A:A, "7Г")</f>
        <v/>
      </c>
    </row>
    <row r="21">
      <c r="D21" t="inlineStr">
        <is>
          <t>8А</t>
        </is>
      </c>
      <c r="E21">
        <f>COUNTIF(A:A, "8А")</f>
        <v/>
      </c>
    </row>
    <row r="22">
      <c r="D22" t="inlineStr">
        <is>
          <t>8Б</t>
        </is>
      </c>
      <c r="E22">
        <f>COUNTIF(A:A, "8Б")</f>
        <v/>
      </c>
    </row>
    <row r="23">
      <c r="D23" t="inlineStr">
        <is>
          <t>8В</t>
        </is>
      </c>
      <c r="E23">
        <f>COUNTIF(A:A, "8В")</f>
        <v/>
      </c>
    </row>
    <row r="24">
      <c r="D24" t="inlineStr">
        <is>
          <t>9А</t>
        </is>
      </c>
      <c r="E24">
        <f>COUNTIF(A:A, "9А")</f>
        <v/>
      </c>
    </row>
    <row r="25">
      <c r="D25" t="inlineStr">
        <is>
          <t>9Б</t>
        </is>
      </c>
      <c r="E25">
        <f>COUNTIF(A:A, "9Б")</f>
        <v/>
      </c>
    </row>
    <row r="26">
      <c r="D26" t="inlineStr">
        <is>
          <t>9В</t>
        </is>
      </c>
      <c r="E26">
        <f>COUNTIF(A:A, "9В")</f>
        <v/>
      </c>
    </row>
    <row r="27">
      <c r="D27" t="inlineStr">
        <is>
          <t>9Г</t>
        </is>
      </c>
      <c r="E27">
        <f>COUNTIF(A:A, "9Г")</f>
        <v/>
      </c>
    </row>
    <row r="28">
      <c r="D28" t="inlineStr">
        <is>
          <t>10А</t>
        </is>
      </c>
      <c r="E28">
        <f>COUNTIF(A:A, "10А")</f>
        <v/>
      </c>
    </row>
    <row r="29">
      <c r="D29" t="inlineStr">
        <is>
          <t>10Б</t>
        </is>
      </c>
      <c r="E29">
        <f>COUNTIF(A:A, "10Б")</f>
        <v/>
      </c>
    </row>
    <row r="30">
      <c r="D30" t="inlineStr">
        <is>
          <t>11А</t>
        </is>
      </c>
      <c r="E30">
        <f>COUNTIF(A:A, "11А")</f>
        <v/>
      </c>
    </row>
    <row r="31">
      <c r="D31" t="inlineStr">
        <is>
          <t>11Б</t>
        </is>
      </c>
      <c r="E31">
        <f>COUNTIF(A:A, "11Б")</f>
        <v/>
      </c>
    </row>
    <row r="32">
      <c r="D32" s="1" t="inlineStr">
        <is>
          <t xml:space="preserve">Всего: </t>
        </is>
      </c>
      <c r="E32">
        <f>SUM(E2:E31)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50" customWidth="1" min="2" max="2"/>
  </cols>
  <sheetData>
    <row r="1">
      <c r="A1" s="1" t="inlineStr">
        <is>
          <t>Класс</t>
        </is>
      </c>
      <c r="B1" s="1" t="inlineStr">
        <is>
          <t>Ученик</t>
        </is>
      </c>
      <c r="D1" s="1" t="inlineStr">
        <is>
          <t>Класс</t>
        </is>
      </c>
      <c r="E1" s="1" t="inlineStr">
        <is>
          <t>Кол-во</t>
        </is>
      </c>
    </row>
    <row r="2">
      <c r="A2" t="inlineStr">
        <is>
          <t>10А</t>
        </is>
      </c>
      <c r="B2" t="inlineStr">
        <is>
          <t>Артемов Тимофей Андреевич</t>
        </is>
      </c>
      <c r="D2" t="inlineStr">
        <is>
          <t>4А</t>
        </is>
      </c>
      <c r="E2">
        <f>COUNTIF(A:A, "4А")</f>
        <v/>
      </c>
    </row>
    <row r="3">
      <c r="A3" t="inlineStr">
        <is>
          <t>10А</t>
        </is>
      </c>
      <c r="B3" t="inlineStr">
        <is>
          <t>Костарев Андрей Алексеевич</t>
        </is>
      </c>
      <c r="D3" t="inlineStr">
        <is>
          <t>4Б</t>
        </is>
      </c>
      <c r="E3">
        <f>COUNTIF(A:A, "4Б")</f>
        <v/>
      </c>
    </row>
    <row r="4">
      <c r="A4" t="inlineStr">
        <is>
          <t>10А</t>
        </is>
      </c>
      <c r="B4" t="inlineStr">
        <is>
          <t>Мурындина Елена Сергеевна</t>
        </is>
      </c>
      <c r="D4" t="inlineStr">
        <is>
          <t>4В</t>
        </is>
      </c>
      <c r="E4">
        <f>COUNTIF(A:A, "4В")</f>
        <v/>
      </c>
    </row>
    <row r="5">
      <c r="A5" t="inlineStr">
        <is>
          <t>10А</t>
        </is>
      </c>
      <c r="B5" t="inlineStr">
        <is>
          <t>Островецкий Иван Александрович</t>
        </is>
      </c>
      <c r="D5" t="inlineStr">
        <is>
          <t>4Г</t>
        </is>
      </c>
      <c r="E5">
        <f>COUNTIF(A:A, "4Г")</f>
        <v/>
      </c>
    </row>
    <row r="6">
      <c r="A6" t="inlineStr">
        <is>
          <t>10А</t>
        </is>
      </c>
      <c r="B6" t="inlineStr">
        <is>
          <t>Рыжакова Софья Дмитриевна</t>
        </is>
      </c>
      <c r="D6" t="inlineStr">
        <is>
          <t>4Д</t>
        </is>
      </c>
      <c r="E6">
        <f>COUNTIF(A:A, "4Д")</f>
        <v/>
      </c>
    </row>
    <row r="7">
      <c r="A7" t="inlineStr">
        <is>
          <t>10А</t>
        </is>
      </c>
      <c r="B7" t="inlineStr">
        <is>
          <t>Симанович Виктория Александровна</t>
        </is>
      </c>
      <c r="D7" t="inlineStr">
        <is>
          <t>5А</t>
        </is>
      </c>
      <c r="E7">
        <f>COUNTIF(A:A, "5А")</f>
        <v/>
      </c>
    </row>
    <row r="8">
      <c r="D8" t="inlineStr">
        <is>
          <t>5Б</t>
        </is>
      </c>
      <c r="E8">
        <f>COUNTIF(A:A, "5Б")</f>
        <v/>
      </c>
    </row>
    <row r="9">
      <c r="D9" t="inlineStr">
        <is>
          <t>5В</t>
        </is>
      </c>
      <c r="E9">
        <f>COUNTIF(A:A, "5В")</f>
        <v/>
      </c>
    </row>
    <row r="10">
      <c r="D10" t="inlineStr">
        <is>
          <t>5Г</t>
        </is>
      </c>
      <c r="E10">
        <f>COUNTIF(A:A, "5Г")</f>
        <v/>
      </c>
    </row>
    <row r="11">
      <c r="D11" t="inlineStr">
        <is>
          <t>5Д</t>
        </is>
      </c>
      <c r="E11">
        <f>COUNTIF(A:A, "5Д")</f>
        <v/>
      </c>
    </row>
    <row r="12">
      <c r="D12" t="inlineStr">
        <is>
          <t>6А</t>
        </is>
      </c>
      <c r="E12">
        <f>COUNTIF(A:A, "6А")</f>
        <v/>
      </c>
    </row>
    <row r="13">
      <c r="D13" t="inlineStr">
        <is>
          <t>6Б</t>
        </is>
      </c>
      <c r="E13">
        <f>COUNTIF(A:A, "6Б")</f>
        <v/>
      </c>
    </row>
    <row r="14">
      <c r="D14" t="inlineStr">
        <is>
          <t>6В</t>
        </is>
      </c>
      <c r="E14">
        <f>COUNTIF(A:A, "6В")</f>
        <v/>
      </c>
    </row>
    <row r="15">
      <c r="D15" t="inlineStr">
        <is>
          <t>6Г</t>
        </is>
      </c>
      <c r="E15">
        <f>COUNTIF(A:A, "6Г")</f>
        <v/>
      </c>
    </row>
    <row r="16">
      <c r="D16" t="inlineStr">
        <is>
          <t>6Д</t>
        </is>
      </c>
      <c r="E16">
        <f>COUNTIF(A:A, "6Д")</f>
        <v/>
      </c>
    </row>
    <row r="17">
      <c r="D17" t="inlineStr">
        <is>
          <t>7А</t>
        </is>
      </c>
      <c r="E17">
        <f>COUNTIF(A:A, "7А")</f>
        <v/>
      </c>
    </row>
    <row r="18">
      <c r="D18" t="inlineStr">
        <is>
          <t>7Б</t>
        </is>
      </c>
      <c r="E18">
        <f>COUNTIF(A:A, "7Б")</f>
        <v/>
      </c>
    </row>
    <row r="19">
      <c r="D19" t="inlineStr">
        <is>
          <t>7В</t>
        </is>
      </c>
      <c r="E19">
        <f>COUNTIF(A:A, "7В")</f>
        <v/>
      </c>
    </row>
    <row r="20">
      <c r="D20" t="inlineStr">
        <is>
          <t>7Г</t>
        </is>
      </c>
      <c r="E20">
        <f>COUNTIF(A:A, "7Г")</f>
        <v/>
      </c>
    </row>
    <row r="21">
      <c r="D21" t="inlineStr">
        <is>
          <t>8А</t>
        </is>
      </c>
      <c r="E21">
        <f>COUNTIF(A:A, "8А")</f>
        <v/>
      </c>
    </row>
    <row r="22">
      <c r="D22" t="inlineStr">
        <is>
          <t>8Б</t>
        </is>
      </c>
      <c r="E22">
        <f>COUNTIF(A:A, "8Б")</f>
        <v/>
      </c>
    </row>
    <row r="23">
      <c r="D23" t="inlineStr">
        <is>
          <t>8В</t>
        </is>
      </c>
      <c r="E23">
        <f>COUNTIF(A:A, "8В")</f>
        <v/>
      </c>
    </row>
    <row r="24">
      <c r="D24" t="inlineStr">
        <is>
          <t>9А</t>
        </is>
      </c>
      <c r="E24">
        <f>COUNTIF(A:A, "9А")</f>
        <v/>
      </c>
    </row>
    <row r="25">
      <c r="D25" t="inlineStr">
        <is>
          <t>9Б</t>
        </is>
      </c>
      <c r="E25">
        <f>COUNTIF(A:A, "9Б")</f>
        <v/>
      </c>
    </row>
    <row r="26">
      <c r="D26" t="inlineStr">
        <is>
          <t>9В</t>
        </is>
      </c>
      <c r="E26">
        <f>COUNTIF(A:A, "9В")</f>
        <v/>
      </c>
    </row>
    <row r="27">
      <c r="D27" t="inlineStr">
        <is>
          <t>9Г</t>
        </is>
      </c>
      <c r="E27">
        <f>COUNTIF(A:A, "9Г")</f>
        <v/>
      </c>
    </row>
    <row r="28">
      <c r="D28" t="inlineStr">
        <is>
          <t>10А</t>
        </is>
      </c>
      <c r="E28">
        <f>COUNTIF(A:A, "10А")</f>
        <v/>
      </c>
    </row>
    <row r="29">
      <c r="D29" t="inlineStr">
        <is>
          <t>10Б</t>
        </is>
      </c>
      <c r="E29">
        <f>COUNTIF(A:A, "10Б")</f>
        <v/>
      </c>
    </row>
    <row r="30">
      <c r="D30" t="inlineStr">
        <is>
          <t>11А</t>
        </is>
      </c>
      <c r="E30">
        <f>COUNTIF(A:A, "11А")</f>
        <v/>
      </c>
    </row>
    <row r="31">
      <c r="D31" t="inlineStr">
        <is>
          <t>11Б</t>
        </is>
      </c>
      <c r="E31">
        <f>COUNTIF(A:A, "11Б")</f>
        <v/>
      </c>
    </row>
    <row r="32">
      <c r="D32" s="1" t="inlineStr">
        <is>
          <t xml:space="preserve">Всего: </t>
        </is>
      </c>
      <c r="E32">
        <f>SUM(E2:E31)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50" customWidth="1" min="2" max="2"/>
  </cols>
  <sheetData>
    <row r="1">
      <c r="A1" s="1" t="inlineStr">
        <is>
          <t>Класс</t>
        </is>
      </c>
      <c r="B1" s="1" t="inlineStr">
        <is>
          <t>Ученик</t>
        </is>
      </c>
      <c r="D1" s="1" t="inlineStr">
        <is>
          <t>Класс</t>
        </is>
      </c>
      <c r="E1" s="1" t="inlineStr">
        <is>
          <t>Кол-во</t>
        </is>
      </c>
    </row>
    <row r="2">
      <c r="A2" t="inlineStr">
        <is>
          <t>10А</t>
        </is>
      </c>
      <c r="B2" t="inlineStr">
        <is>
          <t>Анисимова София Александровна</t>
        </is>
      </c>
      <c r="D2" t="inlineStr">
        <is>
          <t>4А</t>
        </is>
      </c>
      <c r="E2">
        <f>COUNTIF(A:A, "4А")</f>
        <v/>
      </c>
    </row>
    <row r="3">
      <c r="A3" t="inlineStr">
        <is>
          <t>10А</t>
        </is>
      </c>
      <c r="B3" t="inlineStr">
        <is>
          <t>Воробьёв Артём Константинович</t>
        </is>
      </c>
      <c r="D3" t="inlineStr">
        <is>
          <t>4Б</t>
        </is>
      </c>
      <c r="E3">
        <f>COUNTIF(A:A, "4Б")</f>
        <v/>
      </c>
    </row>
    <row r="4">
      <c r="A4" t="inlineStr">
        <is>
          <t>10А</t>
        </is>
      </c>
      <c r="B4" t="inlineStr">
        <is>
          <t>Иванова Арина Сергеевна</t>
        </is>
      </c>
      <c r="D4" t="inlineStr">
        <is>
          <t>4В</t>
        </is>
      </c>
      <c r="E4">
        <f>COUNTIF(A:A, "4В")</f>
        <v/>
      </c>
    </row>
    <row r="5">
      <c r="A5" t="inlineStr">
        <is>
          <t>10А</t>
        </is>
      </c>
      <c r="B5" t="inlineStr">
        <is>
          <t>Кривошапка Евгений Алексеевич</t>
        </is>
      </c>
      <c r="D5" t="inlineStr">
        <is>
          <t>4Г</t>
        </is>
      </c>
      <c r="E5">
        <f>COUNTIF(A:A, "4Г")</f>
        <v/>
      </c>
    </row>
    <row r="6">
      <c r="A6" t="inlineStr">
        <is>
          <t>10А</t>
        </is>
      </c>
      <c r="B6" t="inlineStr">
        <is>
          <t>Моськин Павел Сергеевич</t>
        </is>
      </c>
      <c r="D6" t="inlineStr">
        <is>
          <t>4Д</t>
        </is>
      </c>
      <c r="E6">
        <f>COUNTIF(A:A, "4Д")</f>
        <v/>
      </c>
    </row>
    <row r="7">
      <c r="A7" t="inlineStr">
        <is>
          <t>10А</t>
        </is>
      </c>
      <c r="B7" t="inlineStr">
        <is>
          <t>Немкова Анастасия Денисовна</t>
        </is>
      </c>
      <c r="D7" t="inlineStr">
        <is>
          <t>5А</t>
        </is>
      </c>
      <c r="E7">
        <f>COUNTIF(A:A, "5А")</f>
        <v/>
      </c>
    </row>
    <row r="8">
      <c r="A8" t="inlineStr">
        <is>
          <t>10А</t>
        </is>
      </c>
      <c r="B8" t="inlineStr">
        <is>
          <t>Ожиганов Владислав Владимирович</t>
        </is>
      </c>
      <c r="D8" t="inlineStr">
        <is>
          <t>5Б</t>
        </is>
      </c>
      <c r="E8">
        <f>COUNTIF(A:A, "5Б")</f>
        <v/>
      </c>
    </row>
    <row r="9">
      <c r="A9" t="inlineStr">
        <is>
          <t>10А</t>
        </is>
      </c>
      <c r="B9" t="inlineStr">
        <is>
          <t>Рабчевский Владимир Дмитриевич</t>
        </is>
      </c>
      <c r="D9" t="inlineStr">
        <is>
          <t>5В</t>
        </is>
      </c>
      <c r="E9">
        <f>COUNTIF(A:A, "5В")</f>
        <v/>
      </c>
    </row>
    <row r="10">
      <c r="A10" t="inlineStr">
        <is>
          <t>10А</t>
        </is>
      </c>
      <c r="B10" t="inlineStr">
        <is>
          <t>Ручьев Яков Максимович</t>
        </is>
      </c>
      <c r="D10" t="inlineStr">
        <is>
          <t>5Г</t>
        </is>
      </c>
      <c r="E10">
        <f>COUNTIF(A:A, "5Г")</f>
        <v/>
      </c>
    </row>
    <row r="11">
      <c r="A11" t="inlineStr">
        <is>
          <t>10А</t>
        </is>
      </c>
      <c r="B11" t="inlineStr">
        <is>
          <t>РЫЖКОВА ПОЛИНА ИЛЬИНИЧНА</t>
        </is>
      </c>
      <c r="D11" t="inlineStr">
        <is>
          <t>5Д</t>
        </is>
      </c>
      <c r="E11">
        <f>COUNTIF(A:A, "5Д")</f>
        <v/>
      </c>
    </row>
    <row r="12">
      <c r="A12" t="inlineStr">
        <is>
          <t>10А</t>
        </is>
      </c>
      <c r="B12" t="inlineStr">
        <is>
          <t>Серина Дарья Сергеевна</t>
        </is>
      </c>
      <c r="D12" t="inlineStr">
        <is>
          <t>6А</t>
        </is>
      </c>
      <c r="E12">
        <f>COUNTIF(A:A, "6А")</f>
        <v/>
      </c>
    </row>
    <row r="13">
      <c r="A13" t="inlineStr">
        <is>
          <t>10А</t>
        </is>
      </c>
      <c r="B13" t="inlineStr">
        <is>
          <t>Смирнова Вероника Антоновна</t>
        </is>
      </c>
      <c r="D13" t="inlineStr">
        <is>
          <t>6Б</t>
        </is>
      </c>
      <c r="E13">
        <f>COUNTIF(A:A, "6Б")</f>
        <v/>
      </c>
    </row>
    <row r="14">
      <c r="D14" t="inlineStr">
        <is>
          <t>6В</t>
        </is>
      </c>
      <c r="E14">
        <f>COUNTIF(A:A, "6В")</f>
        <v/>
      </c>
    </row>
    <row r="15">
      <c r="D15" t="inlineStr">
        <is>
          <t>6Г</t>
        </is>
      </c>
      <c r="E15">
        <f>COUNTIF(A:A, "6Г")</f>
        <v/>
      </c>
    </row>
    <row r="16">
      <c r="D16" t="inlineStr">
        <is>
          <t>6Д</t>
        </is>
      </c>
      <c r="E16">
        <f>COUNTIF(A:A, "6Д")</f>
        <v/>
      </c>
    </row>
    <row r="17">
      <c r="D17" t="inlineStr">
        <is>
          <t>7А</t>
        </is>
      </c>
      <c r="E17">
        <f>COUNTIF(A:A, "7А")</f>
        <v/>
      </c>
    </row>
    <row r="18">
      <c r="D18" t="inlineStr">
        <is>
          <t>7Б</t>
        </is>
      </c>
      <c r="E18">
        <f>COUNTIF(A:A, "7Б")</f>
        <v/>
      </c>
    </row>
    <row r="19">
      <c r="D19" t="inlineStr">
        <is>
          <t>7В</t>
        </is>
      </c>
      <c r="E19">
        <f>COUNTIF(A:A, "7В")</f>
        <v/>
      </c>
    </row>
    <row r="20">
      <c r="D20" t="inlineStr">
        <is>
          <t>7Г</t>
        </is>
      </c>
      <c r="E20">
        <f>COUNTIF(A:A, "7Г")</f>
        <v/>
      </c>
    </row>
    <row r="21">
      <c r="D21" t="inlineStr">
        <is>
          <t>8А</t>
        </is>
      </c>
      <c r="E21">
        <f>COUNTIF(A:A, "8А")</f>
        <v/>
      </c>
    </row>
    <row r="22">
      <c r="D22" t="inlineStr">
        <is>
          <t>8Б</t>
        </is>
      </c>
      <c r="E22">
        <f>COUNTIF(A:A, "8Б")</f>
        <v/>
      </c>
    </row>
    <row r="23">
      <c r="D23" t="inlineStr">
        <is>
          <t>8В</t>
        </is>
      </c>
      <c r="E23">
        <f>COUNTIF(A:A, "8В")</f>
        <v/>
      </c>
    </row>
    <row r="24">
      <c r="D24" t="inlineStr">
        <is>
          <t>9А</t>
        </is>
      </c>
      <c r="E24">
        <f>COUNTIF(A:A, "9А")</f>
        <v/>
      </c>
    </row>
    <row r="25">
      <c r="D25" t="inlineStr">
        <is>
          <t>9Б</t>
        </is>
      </c>
      <c r="E25">
        <f>COUNTIF(A:A, "9Б")</f>
        <v/>
      </c>
    </row>
    <row r="26">
      <c r="D26" t="inlineStr">
        <is>
          <t>9В</t>
        </is>
      </c>
      <c r="E26">
        <f>COUNTIF(A:A, "9В")</f>
        <v/>
      </c>
    </row>
    <row r="27">
      <c r="D27" t="inlineStr">
        <is>
          <t>9Г</t>
        </is>
      </c>
      <c r="E27">
        <f>COUNTIF(A:A, "9Г")</f>
        <v/>
      </c>
    </row>
    <row r="28">
      <c r="D28" t="inlineStr">
        <is>
          <t>10А</t>
        </is>
      </c>
      <c r="E28">
        <f>COUNTIF(A:A, "10А")</f>
        <v/>
      </c>
    </row>
    <row r="29">
      <c r="D29" t="inlineStr">
        <is>
          <t>10Б</t>
        </is>
      </c>
      <c r="E29">
        <f>COUNTIF(A:A, "10Б")</f>
        <v/>
      </c>
    </row>
    <row r="30">
      <c r="D30" t="inlineStr">
        <is>
          <t>11А</t>
        </is>
      </c>
      <c r="E30">
        <f>COUNTIF(A:A, "11А")</f>
        <v/>
      </c>
    </row>
    <row r="31">
      <c r="D31" t="inlineStr">
        <is>
          <t>11Б</t>
        </is>
      </c>
      <c r="E31">
        <f>COUNTIF(A:A, "11Б")</f>
        <v/>
      </c>
    </row>
    <row r="32">
      <c r="D32" s="1" t="inlineStr">
        <is>
          <t xml:space="preserve">Всего: </t>
        </is>
      </c>
      <c r="E32">
        <f>SUM(E2:E31)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50" customWidth="1" min="2" max="2"/>
  </cols>
  <sheetData>
    <row r="1">
      <c r="A1" s="1" t="inlineStr">
        <is>
          <t>Класс</t>
        </is>
      </c>
      <c r="B1" s="1" t="inlineStr">
        <is>
          <t>Ученик</t>
        </is>
      </c>
      <c r="D1" s="1" t="inlineStr">
        <is>
          <t>Класс</t>
        </is>
      </c>
      <c r="E1" s="1" t="inlineStr">
        <is>
          <t>Кол-во</t>
        </is>
      </c>
    </row>
    <row r="2">
      <c r="A2" t="inlineStr">
        <is>
          <t>10А</t>
        </is>
      </c>
      <c r="B2" t="inlineStr">
        <is>
          <t>Аброськина Риана Александровна</t>
        </is>
      </c>
      <c r="D2" t="inlineStr">
        <is>
          <t>4А</t>
        </is>
      </c>
      <c r="E2">
        <f>COUNTIF(A:A, "4А")</f>
        <v/>
      </c>
    </row>
    <row r="3">
      <c r="A3" t="inlineStr">
        <is>
          <t>10А</t>
        </is>
      </c>
      <c r="B3" t="inlineStr">
        <is>
          <t>Головченко Константин Сергеевич</t>
        </is>
      </c>
      <c r="D3" t="inlineStr">
        <is>
          <t>4Б</t>
        </is>
      </c>
      <c r="E3">
        <f>COUNTIF(A:A, "4Б")</f>
        <v/>
      </c>
    </row>
    <row r="4">
      <c r="A4" t="inlineStr">
        <is>
          <t>10А</t>
        </is>
      </c>
      <c r="B4" t="inlineStr">
        <is>
          <t>Кузнецова Анастасия Михайловна</t>
        </is>
      </c>
      <c r="D4" t="inlineStr">
        <is>
          <t>4В</t>
        </is>
      </c>
      <c r="E4">
        <f>COUNTIF(A:A, "4В")</f>
        <v/>
      </c>
    </row>
    <row r="5">
      <c r="A5" t="inlineStr">
        <is>
          <t>10А</t>
        </is>
      </c>
      <c r="B5" t="inlineStr">
        <is>
          <t>Николаев Владислав Денисович</t>
        </is>
      </c>
      <c r="D5" t="inlineStr">
        <is>
          <t>4Г</t>
        </is>
      </c>
      <c r="E5">
        <f>COUNTIF(A:A, "4Г")</f>
        <v/>
      </c>
    </row>
    <row r="6">
      <c r="A6" t="inlineStr">
        <is>
          <t>10А</t>
        </is>
      </c>
      <c r="B6" t="inlineStr">
        <is>
          <t>Рупасов Михаил Иванович</t>
        </is>
      </c>
      <c r="D6" t="inlineStr">
        <is>
          <t>4Д</t>
        </is>
      </c>
      <c r="E6">
        <f>COUNTIF(A:A, "4Д")</f>
        <v/>
      </c>
    </row>
    <row r="7">
      <c r="A7" t="inlineStr">
        <is>
          <t>10А</t>
        </is>
      </c>
      <c r="B7" t="inlineStr">
        <is>
          <t>Садов Никита Александрович</t>
        </is>
      </c>
      <c r="D7" t="inlineStr">
        <is>
          <t>5А</t>
        </is>
      </c>
      <c r="E7">
        <f>COUNTIF(A:A, "5А")</f>
        <v/>
      </c>
    </row>
    <row r="8">
      <c r="A8" t="inlineStr">
        <is>
          <t>10А</t>
        </is>
      </c>
      <c r="B8" t="inlineStr">
        <is>
          <t>Филатова Анжелика Дмитриевна</t>
        </is>
      </c>
      <c r="D8" t="inlineStr">
        <is>
          <t>5Б</t>
        </is>
      </c>
      <c r="E8">
        <f>COUNTIF(A:A, "5Б")</f>
        <v/>
      </c>
    </row>
    <row r="9">
      <c r="D9" t="inlineStr">
        <is>
          <t>5В</t>
        </is>
      </c>
      <c r="E9">
        <f>COUNTIF(A:A, "5В")</f>
        <v/>
      </c>
    </row>
    <row r="10">
      <c r="D10" t="inlineStr">
        <is>
          <t>5Г</t>
        </is>
      </c>
      <c r="E10">
        <f>COUNTIF(A:A, "5Г")</f>
        <v/>
      </c>
    </row>
    <row r="11">
      <c r="D11" t="inlineStr">
        <is>
          <t>5Д</t>
        </is>
      </c>
      <c r="E11">
        <f>COUNTIF(A:A, "5Д")</f>
        <v/>
      </c>
    </row>
    <row r="12">
      <c r="D12" t="inlineStr">
        <is>
          <t>6А</t>
        </is>
      </c>
      <c r="E12">
        <f>COUNTIF(A:A, "6А")</f>
        <v/>
      </c>
    </row>
    <row r="13">
      <c r="D13" t="inlineStr">
        <is>
          <t>6Б</t>
        </is>
      </c>
      <c r="E13">
        <f>COUNTIF(A:A, "6Б")</f>
        <v/>
      </c>
    </row>
    <row r="14">
      <c r="D14" t="inlineStr">
        <is>
          <t>6В</t>
        </is>
      </c>
      <c r="E14">
        <f>COUNTIF(A:A, "6В")</f>
        <v/>
      </c>
    </row>
    <row r="15">
      <c r="D15" t="inlineStr">
        <is>
          <t>6Г</t>
        </is>
      </c>
      <c r="E15">
        <f>COUNTIF(A:A, "6Г")</f>
        <v/>
      </c>
    </row>
    <row r="16">
      <c r="D16" t="inlineStr">
        <is>
          <t>6Д</t>
        </is>
      </c>
      <c r="E16">
        <f>COUNTIF(A:A, "6Д")</f>
        <v/>
      </c>
    </row>
    <row r="17">
      <c r="D17" t="inlineStr">
        <is>
          <t>7А</t>
        </is>
      </c>
      <c r="E17">
        <f>COUNTIF(A:A, "7А")</f>
        <v/>
      </c>
    </row>
    <row r="18">
      <c r="D18" t="inlineStr">
        <is>
          <t>7Б</t>
        </is>
      </c>
      <c r="E18">
        <f>COUNTIF(A:A, "7Б")</f>
        <v/>
      </c>
    </row>
    <row r="19">
      <c r="D19" t="inlineStr">
        <is>
          <t>7В</t>
        </is>
      </c>
      <c r="E19">
        <f>COUNTIF(A:A, "7В")</f>
        <v/>
      </c>
    </row>
    <row r="20">
      <c r="D20" t="inlineStr">
        <is>
          <t>7Г</t>
        </is>
      </c>
      <c r="E20">
        <f>COUNTIF(A:A, "7Г")</f>
        <v/>
      </c>
    </row>
    <row r="21">
      <c r="D21" t="inlineStr">
        <is>
          <t>8А</t>
        </is>
      </c>
      <c r="E21">
        <f>COUNTIF(A:A, "8А")</f>
        <v/>
      </c>
    </row>
    <row r="22">
      <c r="D22" t="inlineStr">
        <is>
          <t>8Б</t>
        </is>
      </c>
      <c r="E22">
        <f>COUNTIF(A:A, "8Б")</f>
        <v/>
      </c>
    </row>
    <row r="23">
      <c r="D23" t="inlineStr">
        <is>
          <t>8В</t>
        </is>
      </c>
      <c r="E23">
        <f>COUNTIF(A:A, "8В")</f>
        <v/>
      </c>
    </row>
    <row r="24">
      <c r="D24" t="inlineStr">
        <is>
          <t>9А</t>
        </is>
      </c>
      <c r="E24">
        <f>COUNTIF(A:A, "9А")</f>
        <v/>
      </c>
    </row>
    <row r="25">
      <c r="D25" t="inlineStr">
        <is>
          <t>9Б</t>
        </is>
      </c>
      <c r="E25">
        <f>COUNTIF(A:A, "9Б")</f>
        <v/>
      </c>
    </row>
    <row r="26">
      <c r="D26" t="inlineStr">
        <is>
          <t>9В</t>
        </is>
      </c>
      <c r="E26">
        <f>COUNTIF(A:A, "9В")</f>
        <v/>
      </c>
    </row>
    <row r="27">
      <c r="D27" t="inlineStr">
        <is>
          <t>9Г</t>
        </is>
      </c>
      <c r="E27">
        <f>COUNTIF(A:A, "9Г")</f>
        <v/>
      </c>
    </row>
    <row r="28">
      <c r="D28" t="inlineStr">
        <is>
          <t>10А</t>
        </is>
      </c>
      <c r="E28">
        <f>COUNTIF(A:A, "10А")</f>
        <v/>
      </c>
    </row>
    <row r="29">
      <c r="D29" t="inlineStr">
        <is>
          <t>10Б</t>
        </is>
      </c>
      <c r="E29">
        <f>COUNTIF(A:A, "10Б")</f>
        <v/>
      </c>
    </row>
    <row r="30">
      <c r="D30" t="inlineStr">
        <is>
          <t>11А</t>
        </is>
      </c>
      <c r="E30">
        <f>COUNTIF(A:A, "11А")</f>
        <v/>
      </c>
    </row>
    <row r="31">
      <c r="D31" t="inlineStr">
        <is>
          <t>11Б</t>
        </is>
      </c>
      <c r="E31">
        <f>COUNTIF(A:A, "11Б")</f>
        <v/>
      </c>
    </row>
    <row r="32">
      <c r="D32" s="1" t="inlineStr">
        <is>
          <t xml:space="preserve">Всего: </t>
        </is>
      </c>
      <c r="E32">
        <f>SUM(E2:E31)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cols>
    <col width="11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</cols>
  <sheetData>
    <row r="1" ht="105" customHeight="1">
      <c r="A1" s="2" t="inlineStr">
        <is>
          <t>Класс</t>
        </is>
      </c>
      <c r="B1" s="3" t="inlineStr">
        <is>
          <t>Англ. язык</t>
        </is>
      </c>
      <c r="C1" s="4" t="inlineStr">
        <is>
          <t>Астрономия</t>
        </is>
      </c>
      <c r="D1" s="3" t="inlineStr">
        <is>
          <t>Биология</t>
        </is>
      </c>
      <c r="E1" s="4" t="inlineStr">
        <is>
          <t>География</t>
        </is>
      </c>
      <c r="F1" s="3" t="inlineStr">
        <is>
          <t>ИИ</t>
        </is>
      </c>
      <c r="G1" s="4" t="inlineStr">
        <is>
          <t>Инф.без.</t>
        </is>
      </c>
      <c r="H1" s="3" t="inlineStr">
        <is>
          <t>Искусство</t>
        </is>
      </c>
      <c r="I1" s="4" t="inlineStr">
        <is>
          <t>Исп.язык</t>
        </is>
      </c>
      <c r="J1" s="3" t="inlineStr">
        <is>
          <t>История</t>
        </is>
      </c>
      <c r="K1" s="4" t="inlineStr">
        <is>
          <t>Итал.язык</t>
        </is>
      </c>
      <c r="L1" s="3" t="inlineStr">
        <is>
          <t>Право</t>
        </is>
      </c>
      <c r="M1" s="4" t="inlineStr">
        <is>
          <t>Программирование</t>
        </is>
      </c>
      <c r="N1" s="3" t="inlineStr">
        <is>
          <t>Робототехника</t>
        </is>
      </c>
    </row>
    <row r="2">
      <c r="A2" s="5" t="inlineStr">
        <is>
          <t>4А</t>
        </is>
      </c>
      <c r="B2" s="6">
        <f>'Англ. язык'!E2</f>
        <v/>
      </c>
      <c r="C2" s="7">
        <f>'Астрономия'!E2</f>
        <v/>
      </c>
      <c r="D2" s="6">
        <f>'Биология'!E2</f>
        <v/>
      </c>
      <c r="E2" s="7">
        <f>'География'!E2</f>
        <v/>
      </c>
      <c r="F2" s="6">
        <f>'ИИ'!E2</f>
        <v/>
      </c>
      <c r="G2" s="7">
        <f>'Инф.без.'!E2</f>
        <v/>
      </c>
      <c r="H2" s="6">
        <f>'Искусство'!E2</f>
        <v/>
      </c>
      <c r="I2" s="7">
        <f>'Исп.язык'!E2</f>
        <v/>
      </c>
      <c r="J2" s="6">
        <f>'История'!E2</f>
        <v/>
      </c>
      <c r="K2" s="7">
        <f>'Итал.язык'!E2</f>
        <v/>
      </c>
      <c r="L2" s="6">
        <f>'Право'!E2</f>
        <v/>
      </c>
      <c r="M2" s="7">
        <f>'Программирование'!E2</f>
        <v/>
      </c>
      <c r="N2" s="6">
        <f>'Робототехника'!E2</f>
        <v/>
      </c>
    </row>
    <row r="3">
      <c r="A3" s="5" t="inlineStr">
        <is>
          <t>4Б</t>
        </is>
      </c>
      <c r="B3" s="6">
        <f>'Англ. язык'!E3</f>
        <v/>
      </c>
      <c r="C3" s="7">
        <f>'Астрономия'!E3</f>
        <v/>
      </c>
      <c r="D3" s="6">
        <f>'Биология'!E3</f>
        <v/>
      </c>
      <c r="E3" s="7">
        <f>'География'!E3</f>
        <v/>
      </c>
      <c r="F3" s="6">
        <f>'ИИ'!E3</f>
        <v/>
      </c>
      <c r="G3" s="7">
        <f>'Инф.без.'!E3</f>
        <v/>
      </c>
      <c r="H3" s="6">
        <f>'Искусство'!E3</f>
        <v/>
      </c>
      <c r="I3" s="7">
        <f>'Исп.язык'!E3</f>
        <v/>
      </c>
      <c r="J3" s="6">
        <f>'История'!E3</f>
        <v/>
      </c>
      <c r="K3" s="7">
        <f>'Итал.язык'!E3</f>
        <v/>
      </c>
      <c r="L3" s="6">
        <f>'Право'!E3</f>
        <v/>
      </c>
      <c r="M3" s="7">
        <f>'Программирование'!E3</f>
        <v/>
      </c>
      <c r="N3" s="6">
        <f>'Робототехника'!E3</f>
        <v/>
      </c>
    </row>
    <row r="4">
      <c r="A4" s="5" t="inlineStr">
        <is>
          <t>4В</t>
        </is>
      </c>
      <c r="B4" s="6">
        <f>'Англ. язык'!E4</f>
        <v/>
      </c>
      <c r="C4" s="7">
        <f>'Астрономия'!E4</f>
        <v/>
      </c>
      <c r="D4" s="6">
        <f>'Биология'!E4</f>
        <v/>
      </c>
      <c r="E4" s="7">
        <f>'География'!E4</f>
        <v/>
      </c>
      <c r="F4" s="6">
        <f>'ИИ'!E4</f>
        <v/>
      </c>
      <c r="G4" s="7">
        <f>'Инф.без.'!E4</f>
        <v/>
      </c>
      <c r="H4" s="6">
        <f>'Искусство'!E4</f>
        <v/>
      </c>
      <c r="I4" s="7">
        <f>'Исп.язык'!E4</f>
        <v/>
      </c>
      <c r="J4" s="6">
        <f>'История'!E4</f>
        <v/>
      </c>
      <c r="K4" s="7">
        <f>'Итал.язык'!E4</f>
        <v/>
      </c>
      <c r="L4" s="6">
        <f>'Право'!E4</f>
        <v/>
      </c>
      <c r="M4" s="7">
        <f>'Программирование'!E4</f>
        <v/>
      </c>
      <c r="N4" s="6">
        <f>'Робототехника'!E4</f>
        <v/>
      </c>
    </row>
    <row r="5">
      <c r="A5" s="5" t="inlineStr">
        <is>
          <t>4Г</t>
        </is>
      </c>
      <c r="B5" s="6">
        <f>'Англ. язык'!E5</f>
        <v/>
      </c>
      <c r="C5" s="7">
        <f>'Астрономия'!E5</f>
        <v/>
      </c>
      <c r="D5" s="6">
        <f>'Биология'!E5</f>
        <v/>
      </c>
      <c r="E5" s="7">
        <f>'География'!E5</f>
        <v/>
      </c>
      <c r="F5" s="6">
        <f>'ИИ'!E5</f>
        <v/>
      </c>
      <c r="G5" s="7">
        <f>'Инф.без.'!E5</f>
        <v/>
      </c>
      <c r="H5" s="6">
        <f>'Искусство'!E5</f>
        <v/>
      </c>
      <c r="I5" s="7">
        <f>'Исп.язык'!E5</f>
        <v/>
      </c>
      <c r="J5" s="6">
        <f>'История'!E5</f>
        <v/>
      </c>
      <c r="K5" s="7">
        <f>'Итал.язык'!E5</f>
        <v/>
      </c>
      <c r="L5" s="6">
        <f>'Право'!E5</f>
        <v/>
      </c>
      <c r="M5" s="7">
        <f>'Программирование'!E5</f>
        <v/>
      </c>
      <c r="N5" s="6">
        <f>'Робототехника'!E5</f>
        <v/>
      </c>
    </row>
    <row r="6">
      <c r="A6" s="5" t="inlineStr">
        <is>
          <t>4Д</t>
        </is>
      </c>
      <c r="B6" s="6">
        <f>'Англ. язык'!E6</f>
        <v/>
      </c>
      <c r="C6" s="7">
        <f>'Астрономия'!E6</f>
        <v/>
      </c>
      <c r="D6" s="6">
        <f>'Биология'!E6</f>
        <v/>
      </c>
      <c r="E6" s="7">
        <f>'География'!E6</f>
        <v/>
      </c>
      <c r="F6" s="6">
        <f>'ИИ'!E6</f>
        <v/>
      </c>
      <c r="G6" s="7">
        <f>'Инф.без.'!E6</f>
        <v/>
      </c>
      <c r="H6" s="6">
        <f>'Искусство'!E6</f>
        <v/>
      </c>
      <c r="I6" s="7">
        <f>'Исп.язык'!E6</f>
        <v/>
      </c>
      <c r="J6" s="6">
        <f>'История'!E6</f>
        <v/>
      </c>
      <c r="K6" s="7">
        <f>'Итал.язык'!E6</f>
        <v/>
      </c>
      <c r="L6" s="6">
        <f>'Право'!E6</f>
        <v/>
      </c>
      <c r="M6" s="7">
        <f>'Программирование'!E6</f>
        <v/>
      </c>
      <c r="N6" s="6">
        <f>'Робототехника'!E6</f>
        <v/>
      </c>
    </row>
    <row r="7">
      <c r="A7" s="5" t="inlineStr">
        <is>
          <t>5А</t>
        </is>
      </c>
      <c r="B7" s="6">
        <f>'Англ. язык'!E7</f>
        <v/>
      </c>
      <c r="C7" s="7">
        <f>'Астрономия'!E7</f>
        <v/>
      </c>
      <c r="D7" s="6">
        <f>'Биология'!E7</f>
        <v/>
      </c>
      <c r="E7" s="7">
        <f>'География'!E7</f>
        <v/>
      </c>
      <c r="F7" s="6">
        <f>'ИИ'!E7</f>
        <v/>
      </c>
      <c r="G7" s="7">
        <f>'Инф.без.'!E7</f>
        <v/>
      </c>
      <c r="H7" s="6">
        <f>'Искусство'!E7</f>
        <v/>
      </c>
      <c r="I7" s="7">
        <f>'Исп.язык'!E7</f>
        <v/>
      </c>
      <c r="J7" s="6">
        <f>'История'!E7</f>
        <v/>
      </c>
      <c r="K7" s="7">
        <f>'Итал.язык'!E7</f>
        <v/>
      </c>
      <c r="L7" s="6">
        <f>'Право'!E7</f>
        <v/>
      </c>
      <c r="M7" s="7">
        <f>'Программирование'!E7</f>
        <v/>
      </c>
      <c r="N7" s="6">
        <f>'Робототехника'!E7</f>
        <v/>
      </c>
    </row>
    <row r="8">
      <c r="A8" s="5" t="inlineStr">
        <is>
          <t>5Б</t>
        </is>
      </c>
      <c r="B8" s="6">
        <f>'Англ. язык'!E8</f>
        <v/>
      </c>
      <c r="C8" s="7">
        <f>'Астрономия'!E8</f>
        <v/>
      </c>
      <c r="D8" s="6">
        <f>'Биология'!E8</f>
        <v/>
      </c>
      <c r="E8" s="7">
        <f>'География'!E8</f>
        <v/>
      </c>
      <c r="F8" s="6">
        <f>'ИИ'!E8</f>
        <v/>
      </c>
      <c r="G8" s="7">
        <f>'Инф.без.'!E8</f>
        <v/>
      </c>
      <c r="H8" s="6">
        <f>'Искусство'!E8</f>
        <v/>
      </c>
      <c r="I8" s="7">
        <f>'Исп.язык'!E8</f>
        <v/>
      </c>
      <c r="J8" s="6">
        <f>'История'!E8</f>
        <v/>
      </c>
      <c r="K8" s="7">
        <f>'Итал.язык'!E8</f>
        <v/>
      </c>
      <c r="L8" s="6">
        <f>'Право'!E8</f>
        <v/>
      </c>
      <c r="M8" s="7">
        <f>'Программирование'!E8</f>
        <v/>
      </c>
      <c r="N8" s="6">
        <f>'Робототехника'!E8</f>
        <v/>
      </c>
    </row>
    <row r="9">
      <c r="A9" s="5" t="inlineStr">
        <is>
          <t>5В</t>
        </is>
      </c>
      <c r="B9" s="6">
        <f>'Англ. язык'!E9</f>
        <v/>
      </c>
      <c r="C9" s="7">
        <f>'Астрономия'!E9</f>
        <v/>
      </c>
      <c r="D9" s="6">
        <f>'Биология'!E9</f>
        <v/>
      </c>
      <c r="E9" s="7">
        <f>'География'!E9</f>
        <v/>
      </c>
      <c r="F9" s="6">
        <f>'ИИ'!E9</f>
        <v/>
      </c>
      <c r="G9" s="7">
        <f>'Инф.без.'!E9</f>
        <v/>
      </c>
      <c r="H9" s="6">
        <f>'Искусство'!E9</f>
        <v/>
      </c>
      <c r="I9" s="7">
        <f>'Исп.язык'!E9</f>
        <v/>
      </c>
      <c r="J9" s="6">
        <f>'История'!E9</f>
        <v/>
      </c>
      <c r="K9" s="7">
        <f>'Итал.язык'!E9</f>
        <v/>
      </c>
      <c r="L9" s="6">
        <f>'Право'!E9</f>
        <v/>
      </c>
      <c r="M9" s="7">
        <f>'Программирование'!E9</f>
        <v/>
      </c>
      <c r="N9" s="6">
        <f>'Робототехника'!E9</f>
        <v/>
      </c>
    </row>
    <row r="10">
      <c r="A10" s="5" t="inlineStr">
        <is>
          <t>5Г</t>
        </is>
      </c>
      <c r="B10" s="6">
        <f>'Англ. язык'!E10</f>
        <v/>
      </c>
      <c r="C10" s="7">
        <f>'Астрономия'!E10</f>
        <v/>
      </c>
      <c r="D10" s="6">
        <f>'Биология'!E10</f>
        <v/>
      </c>
      <c r="E10" s="7">
        <f>'География'!E10</f>
        <v/>
      </c>
      <c r="F10" s="6">
        <f>'ИИ'!E10</f>
        <v/>
      </c>
      <c r="G10" s="7">
        <f>'Инф.без.'!E10</f>
        <v/>
      </c>
      <c r="H10" s="6">
        <f>'Искусство'!E10</f>
        <v/>
      </c>
      <c r="I10" s="7">
        <f>'Исп.язык'!E10</f>
        <v/>
      </c>
      <c r="J10" s="6">
        <f>'История'!E10</f>
        <v/>
      </c>
      <c r="K10" s="7">
        <f>'Итал.язык'!E10</f>
        <v/>
      </c>
      <c r="L10" s="6">
        <f>'Право'!E10</f>
        <v/>
      </c>
      <c r="M10" s="7">
        <f>'Программирование'!E10</f>
        <v/>
      </c>
      <c r="N10" s="6">
        <f>'Робототехника'!E10</f>
        <v/>
      </c>
    </row>
    <row r="11">
      <c r="A11" s="5" t="inlineStr">
        <is>
          <t>5Д</t>
        </is>
      </c>
      <c r="B11" s="6">
        <f>'Англ. язык'!E11</f>
        <v/>
      </c>
      <c r="C11" s="7">
        <f>'Астрономия'!E11</f>
        <v/>
      </c>
      <c r="D11" s="6">
        <f>'Биология'!E11</f>
        <v/>
      </c>
      <c r="E11" s="7">
        <f>'География'!E11</f>
        <v/>
      </c>
      <c r="F11" s="6">
        <f>'ИИ'!E11</f>
        <v/>
      </c>
      <c r="G11" s="7">
        <f>'Инф.без.'!E11</f>
        <v/>
      </c>
      <c r="H11" s="6">
        <f>'Искусство'!E11</f>
        <v/>
      </c>
      <c r="I11" s="7">
        <f>'Исп.язык'!E11</f>
        <v/>
      </c>
      <c r="J11" s="6">
        <f>'История'!E11</f>
        <v/>
      </c>
      <c r="K11" s="7">
        <f>'Итал.язык'!E11</f>
        <v/>
      </c>
      <c r="L11" s="6">
        <f>'Право'!E11</f>
        <v/>
      </c>
      <c r="M11" s="7">
        <f>'Программирование'!E11</f>
        <v/>
      </c>
      <c r="N11" s="6">
        <f>'Робототехника'!E11</f>
        <v/>
      </c>
    </row>
    <row r="12">
      <c r="A12" s="5" t="inlineStr">
        <is>
          <t>6А</t>
        </is>
      </c>
      <c r="B12" s="6">
        <f>'Англ. язык'!E12</f>
        <v/>
      </c>
      <c r="C12" s="7">
        <f>'Астрономия'!E12</f>
        <v/>
      </c>
      <c r="D12" s="6">
        <f>'Биология'!E12</f>
        <v/>
      </c>
      <c r="E12" s="7">
        <f>'География'!E12</f>
        <v/>
      </c>
      <c r="F12" s="6">
        <f>'ИИ'!E12</f>
        <v/>
      </c>
      <c r="G12" s="7">
        <f>'Инф.без.'!E12</f>
        <v/>
      </c>
      <c r="H12" s="6">
        <f>'Искусство'!E12</f>
        <v/>
      </c>
      <c r="I12" s="7">
        <f>'Исп.язык'!E12</f>
        <v/>
      </c>
      <c r="J12" s="6">
        <f>'История'!E12</f>
        <v/>
      </c>
      <c r="K12" s="7">
        <f>'Итал.язык'!E12</f>
        <v/>
      </c>
      <c r="L12" s="6">
        <f>'Право'!E12</f>
        <v/>
      </c>
      <c r="M12" s="7">
        <f>'Программирование'!E12</f>
        <v/>
      </c>
      <c r="N12" s="6">
        <f>'Робототехника'!E12</f>
        <v/>
      </c>
    </row>
    <row r="13">
      <c r="A13" s="5" t="inlineStr">
        <is>
          <t>6Б</t>
        </is>
      </c>
      <c r="B13" s="6">
        <f>'Англ. язык'!E13</f>
        <v/>
      </c>
      <c r="C13" s="7">
        <f>'Астрономия'!E13</f>
        <v/>
      </c>
      <c r="D13" s="6">
        <f>'Биология'!E13</f>
        <v/>
      </c>
      <c r="E13" s="7">
        <f>'География'!E13</f>
        <v/>
      </c>
      <c r="F13" s="6">
        <f>'ИИ'!E13</f>
        <v/>
      </c>
      <c r="G13" s="7">
        <f>'Инф.без.'!E13</f>
        <v/>
      </c>
      <c r="H13" s="6">
        <f>'Искусство'!E13</f>
        <v/>
      </c>
      <c r="I13" s="7">
        <f>'Исп.язык'!E13</f>
        <v/>
      </c>
      <c r="J13" s="6">
        <f>'История'!E13</f>
        <v/>
      </c>
      <c r="K13" s="7">
        <f>'Итал.язык'!E13</f>
        <v/>
      </c>
      <c r="L13" s="6">
        <f>'Право'!E13</f>
        <v/>
      </c>
      <c r="M13" s="7">
        <f>'Программирование'!E13</f>
        <v/>
      </c>
      <c r="N13" s="6">
        <f>'Робототехника'!E13</f>
        <v/>
      </c>
    </row>
    <row r="14">
      <c r="A14" s="5" t="inlineStr">
        <is>
          <t>6В</t>
        </is>
      </c>
      <c r="B14" s="6">
        <f>'Англ. язык'!E14</f>
        <v/>
      </c>
      <c r="C14" s="7">
        <f>'Астрономия'!E14</f>
        <v/>
      </c>
      <c r="D14" s="6">
        <f>'Биология'!E14</f>
        <v/>
      </c>
      <c r="E14" s="7">
        <f>'География'!E14</f>
        <v/>
      </c>
      <c r="F14" s="6">
        <f>'ИИ'!E14</f>
        <v/>
      </c>
      <c r="G14" s="7">
        <f>'Инф.без.'!E14</f>
        <v/>
      </c>
      <c r="H14" s="6">
        <f>'Искусство'!E14</f>
        <v/>
      </c>
      <c r="I14" s="7">
        <f>'Исп.язык'!E14</f>
        <v/>
      </c>
      <c r="J14" s="6">
        <f>'История'!E14</f>
        <v/>
      </c>
      <c r="K14" s="7">
        <f>'Итал.язык'!E14</f>
        <v/>
      </c>
      <c r="L14" s="6">
        <f>'Право'!E14</f>
        <v/>
      </c>
      <c r="M14" s="7">
        <f>'Программирование'!E14</f>
        <v/>
      </c>
      <c r="N14" s="6">
        <f>'Робототехника'!E14</f>
        <v/>
      </c>
    </row>
    <row r="15">
      <c r="A15" s="5" t="inlineStr">
        <is>
          <t>6Г</t>
        </is>
      </c>
      <c r="B15" s="6">
        <f>'Англ. язык'!E15</f>
        <v/>
      </c>
      <c r="C15" s="7">
        <f>'Астрономия'!E15</f>
        <v/>
      </c>
      <c r="D15" s="6">
        <f>'Биология'!E15</f>
        <v/>
      </c>
      <c r="E15" s="7">
        <f>'География'!E15</f>
        <v/>
      </c>
      <c r="F15" s="6">
        <f>'ИИ'!E15</f>
        <v/>
      </c>
      <c r="G15" s="7">
        <f>'Инф.без.'!E15</f>
        <v/>
      </c>
      <c r="H15" s="6">
        <f>'Искусство'!E15</f>
        <v/>
      </c>
      <c r="I15" s="7">
        <f>'Исп.язык'!E15</f>
        <v/>
      </c>
      <c r="J15" s="6">
        <f>'История'!E15</f>
        <v/>
      </c>
      <c r="K15" s="7">
        <f>'Итал.язык'!E15</f>
        <v/>
      </c>
      <c r="L15" s="6">
        <f>'Право'!E15</f>
        <v/>
      </c>
      <c r="M15" s="7">
        <f>'Программирование'!E15</f>
        <v/>
      </c>
      <c r="N15" s="6">
        <f>'Робототехника'!E15</f>
        <v/>
      </c>
    </row>
    <row r="16">
      <c r="A16" s="5" t="inlineStr">
        <is>
          <t>6Д</t>
        </is>
      </c>
      <c r="B16" s="6">
        <f>'Англ. язык'!E16</f>
        <v/>
      </c>
      <c r="C16" s="7">
        <f>'Астрономия'!E16</f>
        <v/>
      </c>
      <c r="D16" s="6">
        <f>'Биология'!E16</f>
        <v/>
      </c>
      <c r="E16" s="7">
        <f>'География'!E16</f>
        <v/>
      </c>
      <c r="F16" s="6">
        <f>'ИИ'!E16</f>
        <v/>
      </c>
      <c r="G16" s="7">
        <f>'Инф.без.'!E16</f>
        <v/>
      </c>
      <c r="H16" s="6">
        <f>'Искусство'!E16</f>
        <v/>
      </c>
      <c r="I16" s="7">
        <f>'Исп.язык'!E16</f>
        <v/>
      </c>
      <c r="J16" s="6">
        <f>'История'!E16</f>
        <v/>
      </c>
      <c r="K16" s="7">
        <f>'Итал.язык'!E16</f>
        <v/>
      </c>
      <c r="L16" s="6">
        <f>'Право'!E16</f>
        <v/>
      </c>
      <c r="M16" s="7">
        <f>'Программирование'!E16</f>
        <v/>
      </c>
      <c r="N16" s="6">
        <f>'Робототехника'!E16</f>
        <v/>
      </c>
    </row>
    <row r="17">
      <c r="A17" s="5" t="inlineStr">
        <is>
          <t>7А</t>
        </is>
      </c>
      <c r="B17" s="6">
        <f>'Англ. язык'!E17</f>
        <v/>
      </c>
      <c r="C17" s="7">
        <f>'Астрономия'!E17</f>
        <v/>
      </c>
      <c r="D17" s="6">
        <f>'Биология'!E17</f>
        <v/>
      </c>
      <c r="E17" s="7">
        <f>'География'!E17</f>
        <v/>
      </c>
      <c r="F17" s="6">
        <f>'ИИ'!E17</f>
        <v/>
      </c>
      <c r="G17" s="7">
        <f>'Инф.без.'!E17</f>
        <v/>
      </c>
      <c r="H17" s="6">
        <f>'Искусство'!E17</f>
        <v/>
      </c>
      <c r="I17" s="7">
        <f>'Исп.язык'!E17</f>
        <v/>
      </c>
      <c r="J17" s="6">
        <f>'История'!E17</f>
        <v/>
      </c>
      <c r="K17" s="7">
        <f>'Итал.язык'!E17</f>
        <v/>
      </c>
      <c r="L17" s="6">
        <f>'Право'!E17</f>
        <v/>
      </c>
      <c r="M17" s="7">
        <f>'Программирование'!E17</f>
        <v/>
      </c>
      <c r="N17" s="6">
        <f>'Робототехника'!E17</f>
        <v/>
      </c>
    </row>
    <row r="18">
      <c r="A18" s="5" t="inlineStr">
        <is>
          <t>7Б</t>
        </is>
      </c>
      <c r="B18" s="6">
        <f>'Англ. язык'!E18</f>
        <v/>
      </c>
      <c r="C18" s="7">
        <f>'Астрономия'!E18</f>
        <v/>
      </c>
      <c r="D18" s="6">
        <f>'Биология'!E18</f>
        <v/>
      </c>
      <c r="E18" s="7">
        <f>'География'!E18</f>
        <v/>
      </c>
      <c r="F18" s="6">
        <f>'ИИ'!E18</f>
        <v/>
      </c>
      <c r="G18" s="7">
        <f>'Инф.без.'!E18</f>
        <v/>
      </c>
      <c r="H18" s="6">
        <f>'Искусство'!E18</f>
        <v/>
      </c>
      <c r="I18" s="7">
        <f>'Исп.язык'!E18</f>
        <v/>
      </c>
      <c r="J18" s="6">
        <f>'История'!E18</f>
        <v/>
      </c>
      <c r="K18" s="7">
        <f>'Итал.язык'!E18</f>
        <v/>
      </c>
      <c r="L18" s="6">
        <f>'Право'!E18</f>
        <v/>
      </c>
      <c r="M18" s="7">
        <f>'Программирование'!E18</f>
        <v/>
      </c>
      <c r="N18" s="6">
        <f>'Робототехника'!E18</f>
        <v/>
      </c>
    </row>
    <row r="19">
      <c r="A19" s="5" t="inlineStr">
        <is>
          <t>7В</t>
        </is>
      </c>
      <c r="B19" s="6">
        <f>'Англ. язык'!E19</f>
        <v/>
      </c>
      <c r="C19" s="7">
        <f>'Астрономия'!E19</f>
        <v/>
      </c>
      <c r="D19" s="6">
        <f>'Биология'!E19</f>
        <v/>
      </c>
      <c r="E19" s="7">
        <f>'География'!E19</f>
        <v/>
      </c>
      <c r="F19" s="6">
        <f>'ИИ'!E19</f>
        <v/>
      </c>
      <c r="G19" s="7">
        <f>'Инф.без.'!E19</f>
        <v/>
      </c>
      <c r="H19" s="6">
        <f>'Искусство'!E19</f>
        <v/>
      </c>
      <c r="I19" s="7">
        <f>'Исп.язык'!E19</f>
        <v/>
      </c>
      <c r="J19" s="6">
        <f>'История'!E19</f>
        <v/>
      </c>
      <c r="K19" s="7">
        <f>'Итал.язык'!E19</f>
        <v/>
      </c>
      <c r="L19" s="6">
        <f>'Право'!E19</f>
        <v/>
      </c>
      <c r="M19" s="7">
        <f>'Программирование'!E19</f>
        <v/>
      </c>
      <c r="N19" s="6">
        <f>'Робототехника'!E19</f>
        <v/>
      </c>
    </row>
    <row r="20">
      <c r="A20" s="5" t="inlineStr">
        <is>
          <t>7Г</t>
        </is>
      </c>
      <c r="B20" s="6">
        <f>'Англ. язык'!E20</f>
        <v/>
      </c>
      <c r="C20" s="7">
        <f>'Астрономия'!E20</f>
        <v/>
      </c>
      <c r="D20" s="6">
        <f>'Биология'!E20</f>
        <v/>
      </c>
      <c r="E20" s="7">
        <f>'География'!E20</f>
        <v/>
      </c>
      <c r="F20" s="6">
        <f>'ИИ'!E20</f>
        <v/>
      </c>
      <c r="G20" s="7">
        <f>'Инф.без.'!E20</f>
        <v/>
      </c>
      <c r="H20" s="6">
        <f>'Искусство'!E20</f>
        <v/>
      </c>
      <c r="I20" s="7">
        <f>'Исп.язык'!E20</f>
        <v/>
      </c>
      <c r="J20" s="6">
        <f>'История'!E20</f>
        <v/>
      </c>
      <c r="K20" s="7">
        <f>'Итал.язык'!E20</f>
        <v/>
      </c>
      <c r="L20" s="6">
        <f>'Право'!E20</f>
        <v/>
      </c>
      <c r="M20" s="7">
        <f>'Программирование'!E20</f>
        <v/>
      </c>
      <c r="N20" s="6">
        <f>'Робототехника'!E20</f>
        <v/>
      </c>
    </row>
    <row r="21">
      <c r="A21" s="5" t="inlineStr">
        <is>
          <t>8А</t>
        </is>
      </c>
      <c r="B21" s="6">
        <f>'Англ. язык'!E21</f>
        <v/>
      </c>
      <c r="C21" s="7">
        <f>'Астрономия'!E21</f>
        <v/>
      </c>
      <c r="D21" s="6">
        <f>'Биология'!E21</f>
        <v/>
      </c>
      <c r="E21" s="7">
        <f>'География'!E21</f>
        <v/>
      </c>
      <c r="F21" s="6">
        <f>'ИИ'!E21</f>
        <v/>
      </c>
      <c r="G21" s="7">
        <f>'Инф.без.'!E21</f>
        <v/>
      </c>
      <c r="H21" s="6">
        <f>'Искусство'!E21</f>
        <v/>
      </c>
      <c r="I21" s="7">
        <f>'Исп.язык'!E21</f>
        <v/>
      </c>
      <c r="J21" s="6">
        <f>'История'!E21</f>
        <v/>
      </c>
      <c r="K21" s="7">
        <f>'Итал.язык'!E21</f>
        <v/>
      </c>
      <c r="L21" s="6">
        <f>'Право'!E21</f>
        <v/>
      </c>
      <c r="M21" s="7">
        <f>'Программирование'!E21</f>
        <v/>
      </c>
      <c r="N21" s="6">
        <f>'Робототехника'!E21</f>
        <v/>
      </c>
    </row>
    <row r="22">
      <c r="A22" s="5" t="inlineStr">
        <is>
          <t>8Б</t>
        </is>
      </c>
      <c r="B22" s="6">
        <f>'Англ. язык'!E22</f>
        <v/>
      </c>
      <c r="C22" s="7">
        <f>'Астрономия'!E22</f>
        <v/>
      </c>
      <c r="D22" s="6">
        <f>'Биология'!E22</f>
        <v/>
      </c>
      <c r="E22" s="7">
        <f>'География'!E22</f>
        <v/>
      </c>
      <c r="F22" s="6">
        <f>'ИИ'!E22</f>
        <v/>
      </c>
      <c r="G22" s="7">
        <f>'Инф.без.'!E22</f>
        <v/>
      </c>
      <c r="H22" s="6">
        <f>'Искусство'!E22</f>
        <v/>
      </c>
      <c r="I22" s="7">
        <f>'Исп.язык'!E22</f>
        <v/>
      </c>
      <c r="J22" s="6">
        <f>'История'!E22</f>
        <v/>
      </c>
      <c r="K22" s="7">
        <f>'Итал.язык'!E22</f>
        <v/>
      </c>
      <c r="L22" s="6">
        <f>'Право'!E22</f>
        <v/>
      </c>
      <c r="M22" s="7">
        <f>'Программирование'!E22</f>
        <v/>
      </c>
      <c r="N22" s="6">
        <f>'Робототехника'!E22</f>
        <v/>
      </c>
    </row>
    <row r="23">
      <c r="A23" s="5" t="inlineStr">
        <is>
          <t>8В</t>
        </is>
      </c>
      <c r="B23" s="6">
        <f>'Англ. язык'!E23</f>
        <v/>
      </c>
      <c r="C23" s="7">
        <f>'Астрономия'!E23</f>
        <v/>
      </c>
      <c r="D23" s="6">
        <f>'Биология'!E23</f>
        <v/>
      </c>
      <c r="E23" s="7">
        <f>'География'!E23</f>
        <v/>
      </c>
      <c r="F23" s="6">
        <f>'ИИ'!E23</f>
        <v/>
      </c>
      <c r="G23" s="7">
        <f>'Инф.без.'!E23</f>
        <v/>
      </c>
      <c r="H23" s="6">
        <f>'Искусство'!E23</f>
        <v/>
      </c>
      <c r="I23" s="7">
        <f>'Исп.язык'!E23</f>
        <v/>
      </c>
      <c r="J23" s="6">
        <f>'История'!E23</f>
        <v/>
      </c>
      <c r="K23" s="7">
        <f>'Итал.язык'!E23</f>
        <v/>
      </c>
      <c r="L23" s="6">
        <f>'Право'!E23</f>
        <v/>
      </c>
      <c r="M23" s="7">
        <f>'Программирование'!E23</f>
        <v/>
      </c>
      <c r="N23" s="6">
        <f>'Робототехника'!E23</f>
        <v/>
      </c>
    </row>
    <row r="24">
      <c r="A24" s="5" t="inlineStr">
        <is>
          <t>9А</t>
        </is>
      </c>
      <c r="B24" s="6">
        <f>'Англ. язык'!E24</f>
        <v/>
      </c>
      <c r="C24" s="7">
        <f>'Астрономия'!E24</f>
        <v/>
      </c>
      <c r="D24" s="6">
        <f>'Биология'!E24</f>
        <v/>
      </c>
      <c r="E24" s="7">
        <f>'География'!E24</f>
        <v/>
      </c>
      <c r="F24" s="6">
        <f>'ИИ'!E24</f>
        <v/>
      </c>
      <c r="G24" s="7">
        <f>'Инф.без.'!E24</f>
        <v/>
      </c>
      <c r="H24" s="6">
        <f>'Искусство'!E24</f>
        <v/>
      </c>
      <c r="I24" s="7">
        <f>'Исп.язык'!E24</f>
        <v/>
      </c>
      <c r="J24" s="6">
        <f>'История'!E24</f>
        <v/>
      </c>
      <c r="K24" s="7">
        <f>'Итал.язык'!E24</f>
        <v/>
      </c>
      <c r="L24" s="6">
        <f>'Право'!E24</f>
        <v/>
      </c>
      <c r="M24" s="7">
        <f>'Программирование'!E24</f>
        <v/>
      </c>
      <c r="N24" s="6">
        <f>'Робототехника'!E24</f>
        <v/>
      </c>
    </row>
    <row r="25">
      <c r="A25" s="5" t="inlineStr">
        <is>
          <t>9Б</t>
        </is>
      </c>
      <c r="B25" s="6">
        <f>'Англ. язык'!E25</f>
        <v/>
      </c>
      <c r="C25" s="7">
        <f>'Астрономия'!E25</f>
        <v/>
      </c>
      <c r="D25" s="6">
        <f>'Биология'!E25</f>
        <v/>
      </c>
      <c r="E25" s="7">
        <f>'География'!E25</f>
        <v/>
      </c>
      <c r="F25" s="6">
        <f>'ИИ'!E25</f>
        <v/>
      </c>
      <c r="G25" s="7">
        <f>'Инф.без.'!E25</f>
        <v/>
      </c>
      <c r="H25" s="6">
        <f>'Искусство'!E25</f>
        <v/>
      </c>
      <c r="I25" s="7">
        <f>'Исп.язык'!E25</f>
        <v/>
      </c>
      <c r="J25" s="6">
        <f>'История'!E25</f>
        <v/>
      </c>
      <c r="K25" s="7">
        <f>'Итал.язык'!E25</f>
        <v/>
      </c>
      <c r="L25" s="6">
        <f>'Право'!E25</f>
        <v/>
      </c>
      <c r="M25" s="7">
        <f>'Программирование'!E25</f>
        <v/>
      </c>
      <c r="N25" s="6">
        <f>'Робототехника'!E25</f>
        <v/>
      </c>
    </row>
    <row r="26">
      <c r="A26" s="5" t="inlineStr">
        <is>
          <t>9В</t>
        </is>
      </c>
      <c r="B26" s="6">
        <f>'Англ. язык'!E26</f>
        <v/>
      </c>
      <c r="C26" s="7">
        <f>'Астрономия'!E26</f>
        <v/>
      </c>
      <c r="D26" s="6">
        <f>'Биология'!E26</f>
        <v/>
      </c>
      <c r="E26" s="7">
        <f>'География'!E26</f>
        <v/>
      </c>
      <c r="F26" s="6">
        <f>'ИИ'!E26</f>
        <v/>
      </c>
      <c r="G26" s="7">
        <f>'Инф.без.'!E26</f>
        <v/>
      </c>
      <c r="H26" s="6">
        <f>'Искусство'!E26</f>
        <v/>
      </c>
      <c r="I26" s="7">
        <f>'Исп.язык'!E26</f>
        <v/>
      </c>
      <c r="J26" s="6">
        <f>'История'!E26</f>
        <v/>
      </c>
      <c r="K26" s="7">
        <f>'Итал.язык'!E26</f>
        <v/>
      </c>
      <c r="L26" s="6">
        <f>'Право'!E26</f>
        <v/>
      </c>
      <c r="M26" s="7">
        <f>'Программирование'!E26</f>
        <v/>
      </c>
      <c r="N26" s="6">
        <f>'Робототехника'!E26</f>
        <v/>
      </c>
    </row>
    <row r="27">
      <c r="A27" s="5" t="inlineStr">
        <is>
          <t>9Г</t>
        </is>
      </c>
      <c r="B27" s="6">
        <f>'Англ. язык'!E27</f>
        <v/>
      </c>
      <c r="C27" s="7">
        <f>'Астрономия'!E27</f>
        <v/>
      </c>
      <c r="D27" s="6">
        <f>'Биология'!E27</f>
        <v/>
      </c>
      <c r="E27" s="7">
        <f>'География'!E27</f>
        <v/>
      </c>
      <c r="F27" s="6">
        <f>'ИИ'!E27</f>
        <v/>
      </c>
      <c r="G27" s="7">
        <f>'Инф.без.'!E27</f>
        <v/>
      </c>
      <c r="H27" s="6">
        <f>'Искусство'!E27</f>
        <v/>
      </c>
      <c r="I27" s="7">
        <f>'Исп.язык'!E27</f>
        <v/>
      </c>
      <c r="J27" s="6">
        <f>'История'!E27</f>
        <v/>
      </c>
      <c r="K27" s="7">
        <f>'Итал.язык'!E27</f>
        <v/>
      </c>
      <c r="L27" s="6">
        <f>'Право'!E27</f>
        <v/>
      </c>
      <c r="M27" s="7">
        <f>'Программирование'!E27</f>
        <v/>
      </c>
      <c r="N27" s="6">
        <f>'Робототехника'!E27</f>
        <v/>
      </c>
    </row>
    <row r="28">
      <c r="A28" s="5" t="inlineStr">
        <is>
          <t>10А</t>
        </is>
      </c>
      <c r="B28" s="6">
        <f>'Англ. язык'!E28</f>
        <v/>
      </c>
      <c r="C28" s="7">
        <f>'Астрономия'!E28</f>
        <v/>
      </c>
      <c r="D28" s="6">
        <f>'Биология'!E28</f>
        <v/>
      </c>
      <c r="E28" s="7">
        <f>'География'!E28</f>
        <v/>
      </c>
      <c r="F28" s="6">
        <f>'ИИ'!E28</f>
        <v/>
      </c>
      <c r="G28" s="7">
        <f>'Инф.без.'!E28</f>
        <v/>
      </c>
      <c r="H28" s="6">
        <f>'Искусство'!E28</f>
        <v/>
      </c>
      <c r="I28" s="7">
        <f>'Исп.язык'!E28</f>
        <v/>
      </c>
      <c r="J28" s="6">
        <f>'История'!E28</f>
        <v/>
      </c>
      <c r="K28" s="7">
        <f>'Итал.язык'!E28</f>
        <v/>
      </c>
      <c r="L28" s="6">
        <f>'Право'!E28</f>
        <v/>
      </c>
      <c r="M28" s="7">
        <f>'Программирование'!E28</f>
        <v/>
      </c>
      <c r="N28" s="6">
        <f>'Робототехника'!E28</f>
        <v/>
      </c>
    </row>
    <row r="29">
      <c r="A29" s="5" t="inlineStr">
        <is>
          <t>10Б</t>
        </is>
      </c>
      <c r="B29" s="6">
        <f>'Англ. язык'!E29</f>
        <v/>
      </c>
      <c r="C29" s="7">
        <f>'Астрономия'!E29</f>
        <v/>
      </c>
      <c r="D29" s="6">
        <f>'Биология'!E29</f>
        <v/>
      </c>
      <c r="E29" s="7">
        <f>'География'!E29</f>
        <v/>
      </c>
      <c r="F29" s="6">
        <f>'ИИ'!E29</f>
        <v/>
      </c>
      <c r="G29" s="7">
        <f>'Инф.без.'!E29</f>
        <v/>
      </c>
      <c r="H29" s="6">
        <f>'Искусство'!E29</f>
        <v/>
      </c>
      <c r="I29" s="7">
        <f>'Исп.язык'!E29</f>
        <v/>
      </c>
      <c r="J29" s="6">
        <f>'История'!E29</f>
        <v/>
      </c>
      <c r="K29" s="7">
        <f>'Итал.язык'!E29</f>
        <v/>
      </c>
      <c r="L29" s="6">
        <f>'Право'!E29</f>
        <v/>
      </c>
      <c r="M29" s="7">
        <f>'Программирование'!E29</f>
        <v/>
      </c>
      <c r="N29" s="6">
        <f>'Робототехника'!E29</f>
        <v/>
      </c>
    </row>
    <row r="30">
      <c r="A30" s="5" t="inlineStr">
        <is>
          <t>11А</t>
        </is>
      </c>
      <c r="B30" s="6">
        <f>'Англ. язык'!E30</f>
        <v/>
      </c>
      <c r="C30" s="7">
        <f>'Астрономия'!E30</f>
        <v/>
      </c>
      <c r="D30" s="6">
        <f>'Биология'!E30</f>
        <v/>
      </c>
      <c r="E30" s="7">
        <f>'География'!E30</f>
        <v/>
      </c>
      <c r="F30" s="6">
        <f>'ИИ'!E30</f>
        <v/>
      </c>
      <c r="G30" s="7">
        <f>'Инф.без.'!E30</f>
        <v/>
      </c>
      <c r="H30" s="6">
        <f>'Искусство'!E30</f>
        <v/>
      </c>
      <c r="I30" s="7">
        <f>'Исп.язык'!E30</f>
        <v/>
      </c>
      <c r="J30" s="6">
        <f>'История'!E30</f>
        <v/>
      </c>
      <c r="K30" s="7">
        <f>'Итал.язык'!E30</f>
        <v/>
      </c>
      <c r="L30" s="6">
        <f>'Право'!E30</f>
        <v/>
      </c>
      <c r="M30" s="7">
        <f>'Программирование'!E30</f>
        <v/>
      </c>
      <c r="N30" s="6">
        <f>'Робототехника'!E30</f>
        <v/>
      </c>
    </row>
    <row r="31">
      <c r="A31" s="5" t="inlineStr">
        <is>
          <t>11Б</t>
        </is>
      </c>
      <c r="B31" s="6">
        <f>'Англ. язык'!E31</f>
        <v/>
      </c>
      <c r="C31" s="7">
        <f>'Астрономия'!E31</f>
        <v/>
      </c>
      <c r="D31" s="6">
        <f>'Биология'!E31</f>
        <v/>
      </c>
      <c r="E31" s="7">
        <f>'География'!E31</f>
        <v/>
      </c>
      <c r="F31" s="6">
        <f>'ИИ'!E31</f>
        <v/>
      </c>
      <c r="G31" s="7">
        <f>'Инф.без.'!E31</f>
        <v/>
      </c>
      <c r="H31" s="6">
        <f>'Искусство'!E31</f>
        <v/>
      </c>
      <c r="I31" s="7">
        <f>'Исп.язык'!E31</f>
        <v/>
      </c>
      <c r="J31" s="6">
        <f>'История'!E31</f>
        <v/>
      </c>
      <c r="K31" s="7">
        <f>'Итал.язык'!E31</f>
        <v/>
      </c>
      <c r="L31" s="6">
        <f>'Право'!E31</f>
        <v/>
      </c>
      <c r="M31" s="7">
        <f>'Программирование'!E31</f>
        <v/>
      </c>
      <c r="N31" s="6">
        <f>'Робототехника'!E31</f>
        <v/>
      </c>
    </row>
    <row r="32">
      <c r="A32" s="2" t="inlineStr">
        <is>
          <t>Всего:</t>
        </is>
      </c>
      <c r="B32" s="8">
        <f>SUM(B1:B31)</f>
        <v/>
      </c>
      <c r="C32" s="2">
        <f>SUM(C1:C31)</f>
        <v/>
      </c>
      <c r="D32" s="8">
        <f>SUM(D1:D31)</f>
        <v/>
      </c>
      <c r="E32" s="2">
        <f>SUM(E1:E31)</f>
        <v/>
      </c>
      <c r="F32" s="8">
        <f>SUM(F1:F31)</f>
        <v/>
      </c>
      <c r="G32" s="2">
        <f>SUM(G1:G31)</f>
        <v/>
      </c>
      <c r="H32" s="8">
        <f>SUM(H1:H31)</f>
        <v/>
      </c>
      <c r="I32" s="2">
        <f>SUM(I1:I31)</f>
        <v/>
      </c>
      <c r="J32" s="8">
        <f>SUM(J1:J31)</f>
        <v/>
      </c>
      <c r="K32" s="2">
        <f>SUM(K1:K31)</f>
        <v/>
      </c>
      <c r="L32" s="8">
        <f>SUM(L1:L31)</f>
        <v/>
      </c>
      <c r="M32" s="2">
        <f>SUM(M1:M31)</f>
        <v/>
      </c>
      <c r="N32" s="8">
        <f>SUM(N1:N31)</f>
        <v/>
      </c>
    </row>
    <row r="33">
      <c r="A33" s="2" t="inlineStr">
        <is>
          <t>% участия:</t>
        </is>
      </c>
      <c r="B33" s="9">
        <f>SUM(B1:B31)/864</f>
        <v/>
      </c>
      <c r="C33" s="10">
        <f>SUM(C1:C31)/864</f>
        <v/>
      </c>
      <c r="D33" s="9">
        <f>SUM(D1:D31)/864</f>
        <v/>
      </c>
      <c r="E33" s="10">
        <f>SUM(E1:E31)/864</f>
        <v/>
      </c>
      <c r="F33" s="9">
        <f>SUM(F1:F31)/864</f>
        <v/>
      </c>
      <c r="G33" s="10">
        <f>SUM(G1:G31)/864</f>
        <v/>
      </c>
      <c r="H33" s="9">
        <f>SUM(H1:H31)/864</f>
        <v/>
      </c>
      <c r="I33" s="10">
        <f>SUM(I1:I31)/864</f>
        <v/>
      </c>
      <c r="J33" s="9">
        <f>SUM(J1:J31)/864</f>
        <v/>
      </c>
      <c r="K33" s="10">
        <f>SUM(K1:K31)/864</f>
        <v/>
      </c>
      <c r="L33" s="9">
        <f>SUM(L1:L31)/864</f>
        <v/>
      </c>
      <c r="M33" s="10">
        <f>SUM(M1:M31)/864</f>
        <v/>
      </c>
      <c r="N33" s="9">
        <f>SUM(N1:N31)/864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2026-03-08T18:10:09Z</dcterms:created>
  <dcterms:modified xmlns:dcterms="http://purl.org/dc/terms/" xmlns:xsi="http://www.w3.org/2001/XMLSchema-instance" xsi:type="dcterms:W3CDTF">2026-03-08T18:10:09Z</dcterms:modified>
</cp:coreProperties>
</file>